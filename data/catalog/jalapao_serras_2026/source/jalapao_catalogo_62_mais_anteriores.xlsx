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b6f4c941c441fc" /></Relationships>
</file>

<file path=xl/workbook.xml><?xml version="1.0" encoding="utf-8"?>
<x:workbook xmlns:x="http://schemas.openxmlformats.org/spreadsheetml/2006/main">
  <x:sheets>
    <x:sheet xmlns:r="http://schemas.openxmlformats.org/officeDocument/2006/relationships" name="Painel" sheetId="1" r:id="R73f40c799a864be5"/>
    <x:sheet xmlns:r="http://schemas.openxmlformats.org/officeDocument/2006/relationships" name="Mapa_62" sheetId="2" r:id="R3b092704c06441d3"/>
    <x:sheet xmlns:r="http://schemas.openxmlformats.org/officeDocument/2006/relationships" name="Catalogo_80" sheetId="3" r:id="R72a8368965694ba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244E44"/>
      <x:name val="Carlito"/>
    </x:font>
    <x:font>
      <x:sz val="11"/>
      <x:color rgb="FF164F45"/>
      <x:name val="Carlito"/>
    </x:font>
    <x:font>
      <x:b/>
      <x:sz val="11"/>
      <x:color rgb="FFFFFFFF"/>
      <x:name val="Carlito"/>
    </x:font>
  </x:fonts>
  <x:fills count="5">
    <x:fill>
      <x:patternFill patternType="none"/>
    </x:fill>
    <x:fill>
      <x:patternFill patternType="gray125"/>
    </x:fill>
    <x:fill>
      <x:patternFill patternType="solid">
        <x:fgColor rgb="FF173C37"/>
      </x:patternFill>
    </x:fill>
    <x:fill>
      <x:patternFill patternType="solid">
        <x:fgColor rgb="FFDDEBE2"/>
      </x:patternFill>
    </x:fill>
    <x:fill>
      <x:patternFill patternType="solid">
        <x:fgColor rgb="FF214C43"/>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67927e8dcb4560" /><Relationship Type="http://schemas.openxmlformats.org/officeDocument/2006/relationships/theme" Target="/xl/theme/theme1.xml" Id="R227a347ac83e45c8" /><Relationship Type="http://schemas.openxmlformats.org/officeDocument/2006/relationships/sharedStrings" Target="/xl/sharedStrings.xml" Id="Rb4c1092e1ed945f8" /><Relationship Type="http://schemas.openxmlformats.org/officeDocument/2006/relationships/worksheet" Target="/xl/worksheets/sheet1.xml" Id="R73f40c799a864be5" /><Relationship Type="http://schemas.openxmlformats.org/officeDocument/2006/relationships/worksheet" Target="/xl/worksheets/sheet2.xml" Id="R3b092704c06441d3" /><Relationship Type="http://schemas.openxmlformats.org/officeDocument/2006/relationships/worksheet" Target="/xl/worksheets/sheet3.xml" Id="R72a8368965694bae" /></Relationships>
</file>

<file path=xl/tables/table1.xml><?xml version="1.0" encoding="utf-8"?>
<x:table xmlns:x="http://schemas.openxmlformats.org/spreadsheetml/2006/main" id="1" name="Mapa62Tabela" displayName="Mapa62Tabela" ref="A1:U63" headerRowCount="1" totalsRowCount="0" totalsRowShown="0">
  <x:tableColumns count="21">
    <x:tableColumn id="1" name="numero_no_mapa"/>
    <x:tableColumn id="2" name="nome_no_mapa"/>
    <x:tableColumn id="3" name="nome_canonico"/>
    <x:tableColumn id="4" name="categoria"/>
    <x:tableColumn id="5" name="setor_do_mapa"/>
    <x:tableColumn id="6" name="recorte_turistico"/>
    <x:tableColumn id="7" name="municipio"/>
    <x:tableColumn id="8" name="municipio_status"/>
    <x:tableColumn id="9" name="foto_status"/>
    <x:tableColumn id="10" name="foto_url"/>
    <x:tableColumn id="11" name="foto_pagina_wikimedia"/>
    <x:tableColumn id="12" name="autor_foto"/>
    <x:tableColumn id="13" name="licenca"/>
    <x:tableColumn id="14" name="fonte_institucional_ou_referencia"/>
    <x:tableColumn id="15" name="imagem_pagina_oficial"/>
    <x:tableColumn id="16" name="google_maps_busca"/>
    <x:tableColumn id="17" name="busca_imagens"/>
    <x:tableColumn id="18" name="equivalencia_com_catalogo_anterior"/>
    <x:tableColumn id="19" name="nota_validacao"/>
    <x:tableColumn id="20" name="id"/>
    <x:tableColumn id="21" name="status_cadastro"/>
  </x:tableColumns>
  <x:tableStyleInfo name="TableStyleMedium2" showFirstColumn="0" showLastColumn="0" showRowStripes="1" showColumnStripes="0"/>
</x:table>
</file>

<file path=xl/tables/table2.xml><?xml version="1.0" encoding="utf-8"?>
<x:table xmlns:x="http://schemas.openxmlformats.org/spreadsheetml/2006/main" id="2" name="Catalogo80Tabela" displayName="Catalogo80Tabela" ref="A1:U81" headerRowCount="1" totalsRowCount="0" totalsRowShown="0">
  <x:tableColumns count="21">
    <x:tableColumn id="1" name="numero_no_mapa"/>
    <x:tableColumn id="2" name="nome_no_mapa"/>
    <x:tableColumn id="3" name="nome_canonico"/>
    <x:tableColumn id="4" name="categoria"/>
    <x:tableColumn id="5" name="setor_do_mapa"/>
    <x:tableColumn id="6" name="recorte_turistico"/>
    <x:tableColumn id="7" name="municipio"/>
    <x:tableColumn id="8" name="municipio_status"/>
    <x:tableColumn id="9" name="foto_status"/>
    <x:tableColumn id="10" name="foto_url"/>
    <x:tableColumn id="11" name="foto_pagina_wikimedia"/>
    <x:tableColumn id="12" name="autor_foto"/>
    <x:tableColumn id="13" name="licenca"/>
    <x:tableColumn id="14" name="fonte_institucional_ou_referencia"/>
    <x:tableColumn id="15" name="imagem_pagina_oficial"/>
    <x:tableColumn id="16" name="google_maps_busca"/>
    <x:tableColumn id="17" name="busca_imagens"/>
    <x:tableColumn id="18" name="equivalencia_com_catalogo_anterior"/>
    <x:tableColumn id="19" name="nota_validacao"/>
    <x:tableColumn id="20" name="id"/>
    <x:tableColumn id="21" name="status_cadastr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1e42b9478b4edf" /></Relationships>
</file>

<file path=xl/worksheets/_rels/sheet3.xml.rels>&#65279;<?xml version="1.0" encoding="utf-8"?><Relationships xmlns="http://schemas.openxmlformats.org/package/2006/relationships"><Relationship Type="http://schemas.openxmlformats.org/officeDocument/2006/relationships/table" Target="/xl/tables/table2.xml" Id="Rd820b2fef484435e" /></Relationships>
</file>

<file path=xl/worksheets/sheet1.xml><?xml version="1.0" encoding="utf-8"?>
<x:worksheet xmlns:x="http://schemas.openxmlformats.org/spreadsheetml/2006/main">
  <x:sheetFormatPr defaultRowHeight="15"/>
  <x:cols>
    <x:col min="1" max="1" width="95" hidden="0" customWidth="1"/>
    <x:col min="2" max="2" width="19" hidden="0" customWidth="1"/>
  </x:cols>
  <x:sheetData>
    <x:row r="1" ht="23" customHeight="1">
      <x:c r="A1" s="4" t="str">
        <x:v>JALAPÃO + SERRAS GERAIS | CATÁLOGO DE VALIDAÇÃO</x:v>
      </x:c>
      <x:c r="B1" s="4"/>
      <x:c r="C1" s="4"/>
      <x:c r="D1" s="4"/>
      <x:c r="E1" s="4"/>
      <x:c r="F1" s="4"/>
      <x:c r="G1" s="4"/>
      <x:c r="H1" s="4"/>
    </x:row>
    <x:row r="2" ht="23" customHeight="1">
      <x:c r="A2" s="4"/>
      <x:c r="B2" s="4"/>
      <x:c r="C2" s="4"/>
      <x:c r="D2" s="4"/>
      <x:c r="E2" s="4"/>
      <x:c r="F2" s="4"/>
      <x:c r="G2" s="4"/>
      <x:c r="H2" s="4"/>
    </x:row>
    <x:row r="4" ht="25" customHeight="1">
      <x:c r="A4" s="14" t="str">
        <x:v>Indicador</x:v>
      </x:c>
      <x:c r="B4" s="14" t="str">
        <x:v>Resultado</x:v>
      </x:c>
    </x:row>
    <x:row r="5">
      <x:c r="A5" s="15" t="str">
        <x:v>Atrativos transcritos do mapa</x:v>
      </x:c>
      <x:c r="B5" s="18" t="n">
        <x:f>COUNTA(Mapa_62!B2:B63)</x:f>
        <x:v>62</x:v>
      </x:c>
    </x:row>
    <x:row r="6">
      <x:c r="A6" s="15" t="str">
        <x:v>Total de registros integrados</x:v>
      </x:c>
      <x:c r="B6" s="18" t="n">
        <x:f>COUNTA(Catalogo_80!C2:C81)</x:f>
        <x:v>80</x:v>
      </x:c>
    </x:row>
    <x:row r="7">
      <x:c r="A7" s="15" t="str">
        <x:v>Fotos com licença informada</x:v>
      </x:c>
      <x:c r="B7" s="18" t="n">
        <x:f>COUNTIF(Catalogo_80!I2:I81,"foto_licenciada")</x:f>
        <x:v>16</x:v>
      </x:c>
    </x:row>
    <x:row r="8">
      <x:c r="A8" s="15" t="str">
        <x:v>Galerias institucionais uso pendente</x:v>
      </x:c>
      <x:c r="B8" s="18" t="n">
        <x:f>COUNTIF(Catalogo_80!I2:I81,"galeria_institucional_uso_pendente")</x:f>
        <x:v>5</x:v>
      </x:c>
    </x:row>
    <x:row r="9">
      <x:c r="A9" s="15" t="str">
        <x:v>Sem foto com licença informada</x:v>
      </x:c>
      <x:c r="B9" s="18" t="n">
        <x:f>COUNTIF(Catalogo_80!I2:I81,"sem_foto_licenciada")</x:f>
        <x:v>59</x:v>
      </x:c>
    </x:row>
    <x:row r="10">
      <x:c r="A10" s="15" t="str">
        <x:v>Registros fora da lista dos 62</x:v>
      </x:c>
      <x:c r="B10" s="18" t="n">
        <x:f>COUNTA(Catalogo_80!C2:C81)-COUNTA(Mapa_62!B2:B63)</x:f>
        <x:v>18</x:v>
      </x:c>
    </x:row>
    <x:row r="11">
      <x:c r="A11" s="15" t="str">
        <x:v>Municípios pendentes de checagem</x:v>
      </x:c>
      <x:c r="B11" s="18" t="n">
        <x:f>COUNTIF(Catalogo_80!H2:H81,"pendente")</x:f>
        <x:v>40</x:v>
      </x:c>
    </x:row>
    <x:row r="14">
      <x:c r="A14" s="9" t="str">
        <x:v>Orientações de uso</x:v>
      </x:c>
      <x:c r="B14" s="9"/>
      <x:c r="C14" s="9"/>
      <x:c r="D14" s="9"/>
      <x:c r="E14" s="9"/>
      <x:c r="F14" s="9"/>
      <x:c r="G14" s="9"/>
      <x:c r="H14" s="9"/>
    </x:row>
    <x:row r="15" ht="24" customHeight="1">
      <x:c r="A15" s="12" t="str">
        <x:v>Os 62 pontos são transcrições do mapa turístico, não inventário estatal atualizado.</x:v>
      </x:c>
    </x:row>
    <x:row r="16" ht="24" customHeight="1">
      <x:c r="A16" s="12" t="str">
        <x:v>Fotos Wikimedia só podem ser incorporadas após revisão de autoria, licença e atribuições.</x:v>
      </x:c>
    </x:row>
    <x:row r="17" ht="24" customHeight="1">
      <x:c r="A17" s="12" t="str">
        <x:v>Fotos das galerias municipais devem ser acessadas via link; uso no app exige autorização.</x:v>
      </x:c>
    </x:row>
    <x:row r="18" ht="24" customHeight="1">
      <x:c r="A18" s="12" t="str">
        <x:v>Os links Google Maps são pesquisas. Não representam Place IDs ou coordenadas verificadas.</x:v>
      </x:c>
    </x:row>
    <x:row r="19" ht="24" customHeight="1">
      <x:c r="A19" s="12" t="str">
        <x:v>O Morro da Pedra Furada é registro distinto, pendente de avaliação se coincide com Pedra Furada.</x:v>
      </x:c>
    </x:row>
    <x:row r="20" ht="24" customHeight="1">
      <x:c r="A20" s="12" t="str">
        <x:v>Urubu Rei em Almas/TO não é a cachoeira homônima em Cavalcante/GO.</x:v>
      </x:c>
    </x:row>
    <x:row r="21" ht="24" customHeight="1">
      <x:c r="A21" s="12" t="str">
        <x:v>Usar os filtros das abas de dados para priorizar revisão por categoria/município/foto.</x:v>
      </x:c>
    </x:row>
  </x:sheetData>
  <x:mergeCells>
    <x:mergeCell ref="A1:H2"/>
    <x:mergeCell ref="A14:H14"/>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9" hidden="0" customWidth="1"/>
    <x:col min="3" max="3" width="29" hidden="0" customWidth="1"/>
    <x:col min="4" max="4" width="22" hidden="0" customWidth="1"/>
    <x:col min="5" max="5" width="22" hidden="0" customWidth="1"/>
    <x:col min="6" max="6" width="22" hidden="0" customWidth="1"/>
    <x:col min="7" max="7" width="23" hidden="0" customWidth="1"/>
    <x:col min="8" max="8" width="23" hidden="0" customWidth="1"/>
    <x:col min="9" max="9" width="23" hidden="0" customWidth="1"/>
    <x:col min="10" max="10" width="36" hidden="0" customWidth="1"/>
    <x:col min="11" max="11" width="36" hidden="0" customWidth="1"/>
    <x:col min="12" max="12" width="21" hidden="0" customWidth="1"/>
    <x:col min="13" max="13" width="21" hidden="0" customWidth="1"/>
    <x:col min="14" max="14" width="47" hidden="0" customWidth="1"/>
    <x:col min="15" max="15" width="47" hidden="0" customWidth="1"/>
    <x:col min="16" max="16" width="47" hidden="0" customWidth="1"/>
    <x:col min="17" max="17" width="47" hidden="0" customWidth="1"/>
    <x:col min="18" max="18" width="27" hidden="0" customWidth="1"/>
    <x:col min="19" max="19" width="49" hidden="0" customWidth="1"/>
    <x:col min="20" max="20" width="28" hidden="0" customWidth="1"/>
    <x:col min="21" max="21" width="27" hidden="0" customWidth="1"/>
  </x:cols>
  <x:sheetData>
    <x:row r="1" ht="30" customHeight="1">
      <x:c r="A1" s="23" t="str">
        <x:v>numero_no_mapa</x:v>
      </x:c>
      <x:c r="B1" s="23" t="str">
        <x:v>nome_no_mapa</x:v>
      </x:c>
      <x:c r="C1" s="23" t="str">
        <x:v>nome_canonico</x:v>
      </x:c>
      <x:c r="D1" s="23" t="str">
        <x:v>categoria</x:v>
      </x:c>
      <x:c r="E1" s="23" t="str">
        <x:v>setor_do_mapa</x:v>
      </x:c>
      <x:c r="F1" s="23" t="str">
        <x:v>recorte_turistico</x:v>
      </x:c>
      <x:c r="G1" s="23" t="str">
        <x:v>municipio</x:v>
      </x:c>
      <x:c r="H1" s="23" t="str">
        <x:v>municipio_status</x:v>
      </x:c>
      <x:c r="I1" s="23" t="str">
        <x:v>foto_status</x:v>
      </x:c>
      <x:c r="J1" s="23" t="str">
        <x:v>foto_url</x:v>
      </x:c>
      <x:c r="K1" s="23" t="str">
        <x:v>foto_pagina_wikimedia</x:v>
      </x:c>
      <x:c r="L1" s="23" t="str">
        <x:v>autor_foto</x:v>
      </x:c>
      <x:c r="M1" s="23" t="str">
        <x:v>licenca</x:v>
      </x:c>
      <x:c r="N1" s="23" t="str">
        <x:v>fonte_institucional_ou_referencia</x:v>
      </x:c>
      <x:c r="O1" s="23" t="str">
        <x:v>imagem_pagina_oficial</x:v>
      </x:c>
      <x:c r="P1" s="23" t="str">
        <x:v>google_maps_busca</x:v>
      </x:c>
      <x:c r="Q1" s="23" t="str">
        <x:v>busca_imagens</x:v>
      </x:c>
      <x:c r="R1" s="23" t="str">
        <x:v>equivalencia_com_catalogo_anterior</x:v>
      </x:c>
      <x:c r="S1" s="23" t="str">
        <x:v>nota_validacao</x:v>
      </x:c>
      <x:c r="T1" s="23" t="str">
        <x:v>id</x:v>
      </x:c>
      <x:c r="U1" s="23" t="str">
        <x:v>status_cadastro</x:v>
      </x:c>
    </x:row>
    <x:row r="2" ht="22" customHeight="1">
      <x:c r="A2" s="15" t="str">
        <x:v>1</x:v>
      </x:c>
      <x:c r="B2" s="15" t="str">
        <x:v>Morro do Gorgulho</x:v>
      </x:c>
      <x:c r="C2" s="15" t="str">
        <x:v>Morro do Gorgulho</x:v>
      </x:c>
      <x:c r="D2" s="15" t="str">
        <x:v>Formação rochosa / mirante</x:v>
      </x:c>
      <x:c r="E2" s="15" t="str">
        <x:v>Jalapão</x:v>
      </x:c>
      <x:c r="F2" s="15" t="str">
        <x:v>A confirmar</x:v>
      </x:c>
      <x:c r="G2" s="15" t="str"/>
      <x:c r="H2" s="15" t="str">
        <x:v>pendente</x:v>
      </x:c>
      <x:c r="I2" s="15" t="str">
        <x:v>sem_foto_licenciada</x:v>
      </x:c>
      <x:c r="J2" s="15" t="str"/>
      <x:c r="K2" s="15" t="str"/>
      <x:c r="L2" s="15" t="str"/>
      <x:c r="M2" s="15" t="str"/>
      <x:c r="N2" s="15" t="str"/>
      <x:c r="O2" s="15" t="str"/>
      <x:c r="P2" s="15" t="str">
        <x:v>https://www.google.com/maps/search/?api=1&amp;query=Morro+do+Gorgulho%2C+Tocantins%2C+Brasil</x:v>
      </x:c>
      <x:c r="Q2" s="15" t="str">
        <x:v>https://www.google.com/search?tbm=isch&amp;q=Morro+do+Gorgulho%2C+Tocantins%2C+Brasil</x:v>
      </x:c>
      <x:c r="R2" s="15" t="str">
        <x:v>novo</x:v>
      </x:c>
      <x:c r="S2" s="15" t="str">
        <x:v>Município ainda não corroborado por fonte independente.</x:v>
      </x:c>
      <x:c r="T2" s="15" t="str">
        <x:v>morro-do-gorgulho</x:v>
      </x:c>
      <x:c r="U2" s="15" t="str">
        <x:v>somente_mapa</x:v>
      </x:c>
    </x:row>
    <x:row r="3" ht="22" customHeight="1">
      <x:c r="A3" s="15" t="str">
        <x:v>2</x:v>
      </x:c>
      <x:c r="B3" s="15" t="str">
        <x:v>Fazenda Rio Vermelho</x:v>
      </x:c>
      <x:c r="C3" s="15" t="str">
        <x:v>Fazenda Rio Vermelho</x:v>
      </x:c>
      <x:c r="D3" s="15" t="str">
        <x:v>Outros / confirmar categoria</x:v>
      </x:c>
      <x:c r="E3" s="15" t="str">
        <x:v>Jalapão</x:v>
      </x:c>
      <x:c r="F3" s="15" t="str">
        <x:v>A confirmar</x:v>
      </x:c>
      <x:c r="G3" s="15" t="str"/>
      <x:c r="H3" s="15" t="str">
        <x:v>pendente</x:v>
      </x:c>
      <x:c r="I3" s="15" t="str">
        <x:v>sem_foto_licenciada</x:v>
      </x:c>
      <x:c r="J3" s="15" t="str"/>
      <x:c r="K3" s="15" t="str"/>
      <x:c r="L3" s="15" t="str"/>
      <x:c r="M3" s="15" t="str"/>
      <x:c r="N3" s="15" t="str"/>
      <x:c r="O3" s="15" t="str"/>
      <x:c r="P3" s="15" t="str">
        <x:v>https://www.google.com/maps/search/?api=1&amp;query=Fazenda+Rio+Vermelho%2C+Tocantins%2C+Brasil</x:v>
      </x:c>
      <x:c r="Q3" s="15" t="str">
        <x:v>https://www.google.com/search?tbm=isch&amp;q=Fazenda+Rio+Vermelho%2C+Tocantins%2C+Brasil</x:v>
      </x:c>
      <x:c r="R3" s="15" t="str">
        <x:v>novo</x:v>
      </x:c>
      <x:c r="S3" s="15" t="str">
        <x:v>Município ainda não corroborado por fonte independente.</x:v>
      </x:c>
      <x:c r="T3" s="15" t="str">
        <x:v>fazenda-rio-vermelho</x:v>
      </x:c>
      <x:c r="U3" s="15" t="str">
        <x:v>somente_mapa</x:v>
      </x:c>
    </x:row>
    <x:row r="4" ht="22" customHeight="1">
      <x:c r="A4" s="15" t="str">
        <x:v>3</x:v>
      </x:c>
      <x:c r="B4" s="15" t="str">
        <x:v>Mirante do Sol</x:v>
      </x:c>
      <x:c r="C4" s="15" t="str">
        <x:v>Mirante do Sol</x:v>
      </x:c>
      <x:c r="D4" s="15" t="str">
        <x:v>Formação rochosa / mirante</x:v>
      </x:c>
      <x:c r="E4" s="15" t="str">
        <x:v>Jalapão</x:v>
      </x:c>
      <x:c r="F4" s="15" t="str">
        <x:v>A confirmar</x:v>
      </x:c>
      <x:c r="G4" s="15" t="str"/>
      <x:c r="H4" s="15" t="str">
        <x:v>pendente</x:v>
      </x:c>
      <x:c r="I4" s="15" t="str">
        <x:v>sem_foto_licenciada</x:v>
      </x:c>
      <x:c r="J4" s="15" t="str"/>
      <x:c r="K4" s="15" t="str"/>
      <x:c r="L4" s="15" t="str"/>
      <x:c r="M4" s="15" t="str"/>
      <x:c r="N4" s="15" t="str"/>
      <x:c r="O4" s="15" t="str"/>
      <x:c r="P4" s="15" t="str">
        <x:v>https://www.google.com/maps/search/?api=1&amp;query=Mirante+do+Sol%2C+Tocantins%2C+Brasil</x:v>
      </x:c>
      <x:c r="Q4" s="15" t="str">
        <x:v>https://www.google.com/search?tbm=isch&amp;q=Mirante+do+Sol%2C+Tocantins%2C+Brasil</x:v>
      </x:c>
      <x:c r="R4" s="15" t="str">
        <x:v>novo</x:v>
      </x:c>
      <x:c r="S4" s="15" t="str">
        <x:v>Município ainda não corroborado por fonte independente.</x:v>
      </x:c>
      <x:c r="T4" s="15" t="str">
        <x:v>mirante-do-sol</x:v>
      </x:c>
      <x:c r="U4" s="15" t="str">
        <x:v>somente_mapa</x:v>
      </x:c>
    </x:row>
    <x:row r="5" ht="22" customHeight="1">
      <x:c r="A5" s="15" t="str">
        <x:v>4</x:v>
      </x:c>
      <x:c r="B5" s="15" t="str">
        <x:v>Cachoeira do Brejo da Cama</x:v>
      </x:c>
      <x:c r="C5" s="15" t="str">
        <x:v>Cachoeira do Brejo da Cama</x:v>
      </x:c>
      <x:c r="D5" s="15" t="str">
        <x:v>Cachoeira</x:v>
      </x:c>
      <x:c r="E5" s="15" t="str">
        <x:v>Jalapão</x:v>
      </x:c>
      <x:c r="F5" s="15" t="str">
        <x:v>A confirmar</x:v>
      </x:c>
      <x:c r="G5" s="15" t="str"/>
      <x:c r="H5" s="15" t="str">
        <x:v>pendente</x:v>
      </x:c>
      <x:c r="I5" s="15" t="str">
        <x:v>sem_foto_licenciada</x:v>
      </x:c>
      <x:c r="J5" s="15" t="str"/>
      <x:c r="K5" s="15" t="str"/>
      <x:c r="L5" s="15" t="str"/>
      <x:c r="M5" s="15" t="str"/>
      <x:c r="N5" s="15" t="str"/>
      <x:c r="O5" s="15" t="str"/>
      <x:c r="P5" s="15" t="str">
        <x:v>https://www.google.com/maps/search/?api=1&amp;query=Cachoeira+do+Brejo+da+Cama%2C+Tocantins%2C+Brasil</x:v>
      </x:c>
      <x:c r="Q5" s="15" t="str">
        <x:v>https://www.google.com/search?tbm=isch&amp;q=Cachoeira+do+Brejo+da+Cama%2C+Tocantins%2C+Brasil</x:v>
      </x:c>
      <x:c r="R5" s="15" t="str">
        <x:v>novo</x:v>
      </x:c>
      <x:c r="S5" s="15" t="str">
        <x:v>Município ainda não corroborado por fonte independente.</x:v>
      </x:c>
      <x:c r="T5" s="15" t="str">
        <x:v>cachoeira-do-brejo-da-cama</x:v>
      </x:c>
      <x:c r="U5" s="15" t="str">
        <x:v>somente_mapa</x:v>
      </x:c>
    </x:row>
    <x:row r="6" ht="22" customHeight="1">
      <x:c r="A6" s="15" t="str">
        <x:v>5</x:v>
      </x:c>
      <x:c r="B6" s="15" t="str">
        <x:v>Serra da Muriçoca</x:v>
      </x:c>
      <x:c r="C6" s="15" t="str">
        <x:v>Serra da Muriçoca</x:v>
      </x:c>
      <x:c r="D6" s="15" t="str">
        <x:v>Formação rochosa / mirante</x:v>
      </x:c>
      <x:c r="E6" s="15" t="str">
        <x:v>Jalapão</x:v>
      </x:c>
      <x:c r="F6" s="15" t="str">
        <x:v>A confirmar</x:v>
      </x:c>
      <x:c r="G6" s="15" t="str"/>
      <x:c r="H6" s="15" t="str">
        <x:v>pendente</x:v>
      </x:c>
      <x:c r="I6" s="15" t="str">
        <x:v>sem_foto_licenciada</x:v>
      </x:c>
      <x:c r="J6" s="15" t="str"/>
      <x:c r="K6" s="15" t="str"/>
      <x:c r="L6" s="15" t="str"/>
      <x:c r="M6" s="15" t="str"/>
      <x:c r="N6" s="15" t="str"/>
      <x:c r="O6" s="15" t="str"/>
      <x:c r="P6" s="15" t="str">
        <x:v>https://www.google.com/maps/search/?api=1&amp;query=Serra+da+Muri%C3%A7oca%2C+Tocantins%2C+Brasil</x:v>
      </x:c>
      <x:c r="Q6" s="15" t="str">
        <x:v>https://www.google.com/search?tbm=isch&amp;q=Serra+da+Muri%C3%A7oca%2C+Tocantins%2C+Brasil</x:v>
      </x:c>
      <x:c r="R6" s="15" t="str">
        <x:v>novo</x:v>
      </x:c>
      <x:c r="S6" s="15" t="str">
        <x:v>Município ainda não corroborado por fonte independente.</x:v>
      </x:c>
      <x:c r="T6" s="15" t="str">
        <x:v>serra-da-muricoca</x:v>
      </x:c>
      <x:c r="U6" s="15" t="str">
        <x:v>somente_mapa</x:v>
      </x:c>
    </x:row>
    <x:row r="7" ht="22" customHeight="1">
      <x:c r="A7" s="15" t="str">
        <x:v>6</x:v>
      </x:c>
      <x:c r="B7" s="15" t="str">
        <x:v>Cachoeira do Lajeado</x:v>
      </x:c>
      <x:c r="C7" s="15" t="str">
        <x:v>Cachoeira do Lajeado</x:v>
      </x:c>
      <x:c r="D7" s="15" t="str">
        <x:v>Cachoeira</x:v>
      </x:c>
      <x:c r="E7" s="15" t="str">
        <x:v>Jalapão</x:v>
      </x:c>
      <x:c r="F7" s="15" t="str">
        <x:v>A confirmar</x:v>
      </x:c>
      <x:c r="G7" s="15" t="str"/>
      <x:c r="H7" s="15" t="str">
        <x:v>pendente</x:v>
      </x:c>
      <x:c r="I7" s="15" t="str">
        <x:v>sem_foto_licenciada</x:v>
      </x:c>
      <x:c r="J7" s="15" t="str"/>
      <x:c r="K7" s="15" t="str"/>
      <x:c r="L7" s="15" t="str"/>
      <x:c r="M7" s="15" t="str"/>
      <x:c r="N7" s="15" t="str"/>
      <x:c r="O7" s="15" t="str"/>
      <x:c r="P7" s="15" t="str">
        <x:v>https://www.google.com/maps/search/?api=1&amp;query=Cachoeira+do+Lajeado%2C+Tocantins%2C+Brasil</x:v>
      </x:c>
      <x:c r="Q7" s="15" t="str">
        <x:v>https://www.google.com/search?tbm=isch&amp;q=Cachoeira+do+Lajeado%2C+Tocantins%2C+Brasil</x:v>
      </x:c>
      <x:c r="R7" s="15" t="str">
        <x:v>novo</x:v>
      </x:c>
      <x:c r="S7" s="15" t="str">
        <x:v>Município ainda não corroborado por fonte independente.</x:v>
      </x:c>
      <x:c r="T7" s="15" t="str">
        <x:v>cachoeira-do-lajeado</x:v>
      </x:c>
      <x:c r="U7" s="15" t="str">
        <x:v>somente_mapa</x:v>
      </x:c>
    </x:row>
    <x:row r="8" ht="22" customHeight="1">
      <x:c r="A8" s="15" t="str">
        <x:v>7</x:v>
      </x:c>
      <x:c r="B8" s="15" t="str">
        <x:v>Cânion Sussuapara</x:v>
      </x:c>
      <x:c r="C8" s="15" t="str">
        <x:v>Cânion Sussuapara</x:v>
      </x:c>
      <x:c r="D8" s="15" t="str">
        <x:v>Cânion</x:v>
      </x:c>
      <x:c r="E8" s="15" t="str">
        <x:v>Jalapão</x:v>
      </x:c>
      <x:c r="F8" s="15" t="str">
        <x:v>Encantos do Jalapão</x:v>
      </x:c>
      <x:c r="G8" s="15" t="str">
        <x:v>Ponte Alta do Tocantins</x:v>
      </x:c>
      <x:c r="H8" s="15" t="str">
        <x:v>corroborado</x:v>
      </x:c>
      <x:c r="I8" s="15" t="str">
        <x:v>foto_licenciada</x:v>
      </x:c>
      <x:c r="J8" s="15" t="str">
        <x:v>https://commons.wikimedia.org/wiki/Special:FilePath/C%C3%A2nion_Sussuapara.jpg?width=960</x:v>
      </x:c>
      <x:c r="K8" s="15" t="str">
        <x:v>https://commons.wikimedia.org/wiki/File:C%C3%A2nion_Sussuapara.jpg</x:v>
      </x:c>
      <x:c r="L8" s="15" t="str">
        <x:v>Amanda Santiago</x:v>
      </x:c>
      <x:c r="M8" s="15" t="str">
        <x:v>CC BY-SA 4.0</x:v>
      </x:c>
      <x:c r="N8" s="15" t="str">
        <x:v>https://central3.to.gov.br/arquivo/572017/</x:v>
      </x:c>
      <x:c r="O8" s="15" t="str"/>
      <x:c r="P8" s="15" t="str">
        <x:v>https://www.google.com/maps/search/?api=1&amp;query=C%C3%A2nion+Sussuapara%2C+Ponte+Alta+do+Tocantins%2C+Tocantins%2C+Brasil</x:v>
      </x:c>
      <x:c r="Q8" s="15" t="str">
        <x:v>https://www.google.com/search?tbm=isch&amp;q=C%C3%A2nion+Sussuapara%2C+Ponte+Alta+do+Tocantins%2C+Tocantins%2C+Brasil</x:v>
      </x:c>
      <x:c r="R8" s="15" t="str">
        <x:v>confirmada_por_nome</x:v>
      </x:c>
      <x:c r="S8" s="15" t="str">
        <x:v>Imagem herdada do catálogo anterior; conferir novamente os metadados do Wikimedia antes de publicação definitiva.</x:v>
      </x:c>
      <x:c r="T8" s="15" t="str">
        <x:v>canion-sussuapara</x:v>
      </x:c>
      <x:c r="U8" s="15" t="str">
        <x:v>documentado_por_fonte</x:v>
      </x:c>
    </x:row>
    <x:row r="9" ht="22" customHeight="1">
      <x:c r="A9" s="15" t="str">
        <x:v>8</x:v>
      </x:c>
      <x:c r="B9" s="15" t="str">
        <x:v>Cachoeira da Pedra Furada</x:v>
      </x:c>
      <x:c r="C9" s="15" t="str">
        <x:v>Cachoeira da Pedra Furada</x:v>
      </x:c>
      <x:c r="D9" s="15" t="str">
        <x:v>Cachoeira</x:v>
      </x:c>
      <x:c r="E9" s="15" t="str">
        <x:v>Jalapão</x:v>
      </x:c>
      <x:c r="F9" s="15" t="str">
        <x:v>A confirmar</x:v>
      </x:c>
      <x:c r="G9" s="15" t="str"/>
      <x:c r="H9" s="15" t="str">
        <x:v>pendente</x:v>
      </x:c>
      <x:c r="I9" s="15" t="str">
        <x:v>sem_foto_licenciada</x:v>
      </x:c>
      <x:c r="J9" s="15" t="str"/>
      <x:c r="K9" s="15" t="str"/>
      <x:c r="L9" s="15" t="str"/>
      <x:c r="M9" s="15" t="str"/>
      <x:c r="N9" s="15" t="str"/>
      <x:c r="O9" s="15" t="str"/>
      <x:c r="P9" s="15" t="str">
        <x:v>https://www.google.com/maps/search/?api=1&amp;query=Cachoeira+da+Pedra+Furada%2C+Tocantins%2C+Brasil</x:v>
      </x:c>
      <x:c r="Q9" s="15" t="str">
        <x:v>https://www.google.com/search?tbm=isch&amp;q=Cachoeira+da+Pedra+Furada%2C+Tocantins%2C+Brasil</x:v>
      </x:c>
      <x:c r="R9" s="15" t="str">
        <x:v>novo</x:v>
      </x:c>
      <x:c r="S9" s="15" t="str">
        <x:v>Município ainda não corroborado por fonte independente.</x:v>
      </x:c>
      <x:c r="T9" s="15" t="str">
        <x:v>cachoeira-da-pedra-furada</x:v>
      </x:c>
      <x:c r="U9" s="15" t="str">
        <x:v>somente_mapa</x:v>
      </x:c>
    </x:row>
    <x:row r="10" ht="22" customHeight="1">
      <x:c r="A10" s="15" t="str">
        <x:v>9</x:v>
      </x:c>
      <x:c r="B10" s="15" t="str">
        <x:v>Morro da Pedra Furada</x:v>
      </x:c>
      <x:c r="C10" s="15" t="str">
        <x:v>Morro da Pedra Furada</x:v>
      </x:c>
      <x:c r="D10" s="15" t="str">
        <x:v>Formação rochosa / mirante</x:v>
      </x:c>
      <x:c r="E10" s="15" t="str">
        <x:v>Jalapão</x:v>
      </x:c>
      <x:c r="F10" s="15" t="str">
        <x:v>A confirmar</x:v>
      </x:c>
      <x:c r="G10" s="15" t="str"/>
      <x:c r="H10" s="15" t="str">
        <x:v>pendente</x:v>
      </x:c>
      <x:c r="I10" s="15" t="str">
        <x:v>sem_foto_licenciada</x:v>
      </x:c>
      <x:c r="J10" s="15" t="str"/>
      <x:c r="K10" s="15" t="str"/>
      <x:c r="L10" s="15" t="str"/>
      <x:c r="M10" s="15" t="str"/>
      <x:c r="N10" s="15" t="str"/>
      <x:c r="O10" s="15" t="str"/>
      <x:c r="P10" s="15" t="str">
        <x:v>https://www.google.com/maps/search/?api=1&amp;query=Morro+da+Pedra+Furada%2C+Tocantins%2C+Brasil</x:v>
      </x:c>
      <x:c r="Q10" s="15" t="str">
        <x:v>https://www.google.com/search?tbm=isch&amp;q=Morro+da+Pedra+Furada%2C+Tocantins%2C+Brasil</x:v>
      </x:c>
      <x:c r="R10" s="15" t="str">
        <x:v>possivel</x:v>
      </x:c>
      <x:c r="S10" s="15" t="str">
        <x:v>Possível equivalência com Pedra Furada de Ponte Alta: confirmar se Morro da Pedra Furada é o mesmo POI antes do merge de entidades/fotos. Município ainda não corroborado por fonte independente.</x:v>
      </x:c>
      <x:c r="T10" s="15" t="str">
        <x:v>morro-da-pedra-furada</x:v>
      </x:c>
      <x:c r="U10" s="15" t="str">
        <x:v>somente_mapa</x:v>
      </x:c>
    </x:row>
    <x:row r="11" ht="22" customHeight="1">
      <x:c r="A11" s="15" t="str">
        <x:v>10</x:v>
      </x:c>
      <x:c r="B11" s="15" t="str">
        <x:v>Parque Encantado</x:v>
      </x:c>
      <x:c r="C11" s="15" t="str">
        <x:v>Parque Encantado</x:v>
      </x:c>
      <x:c r="D11" s="15" t="str">
        <x:v>Outros / confirmar categoria</x:v>
      </x:c>
      <x:c r="E11" s="15" t="str">
        <x:v>Jalapão</x:v>
      </x:c>
      <x:c r="F11" s="15" t="str">
        <x:v>A confirmar</x:v>
      </x:c>
      <x:c r="G11" s="15" t="str"/>
      <x:c r="H11" s="15" t="str">
        <x:v>pendente</x:v>
      </x:c>
      <x:c r="I11" s="15" t="str">
        <x:v>sem_foto_licenciada</x:v>
      </x:c>
      <x:c r="J11" s="15" t="str"/>
      <x:c r="K11" s="15" t="str"/>
      <x:c r="L11" s="15" t="str"/>
      <x:c r="M11" s="15" t="str"/>
      <x:c r="N11" s="15" t="str"/>
      <x:c r="O11" s="15" t="str"/>
      <x:c r="P11" s="15" t="str">
        <x:v>https://www.google.com/maps/search/?api=1&amp;query=Parque+Encantado%2C+Tocantins%2C+Brasil</x:v>
      </x:c>
      <x:c r="Q11" s="15" t="str">
        <x:v>https://www.google.com/search?tbm=isch&amp;q=Parque+Encantado%2C+Tocantins%2C+Brasil</x:v>
      </x:c>
      <x:c r="R11" s="15" t="str">
        <x:v>novo</x:v>
      </x:c>
      <x:c r="S11" s="15" t="str">
        <x:v>Município ainda não corroborado por fonte independente.</x:v>
      </x:c>
      <x:c r="T11" s="15" t="str">
        <x:v>parque-encantado</x:v>
      </x:c>
      <x:c r="U11" s="15" t="str">
        <x:v>somente_mapa</x:v>
      </x:c>
    </x:row>
    <x:row r="12" ht="22" customHeight="1">
      <x:c r="A12" s="15" t="str">
        <x:v>11</x:v>
      </x:c>
      <x:c r="B12" s="15" t="str">
        <x:v>Nascente do Peixinho</x:v>
      </x:c>
      <x:c r="C12" s="15" t="str">
        <x:v>Nascente do Peixinho</x:v>
      </x:c>
      <x:c r="D12" s="15" t="str">
        <x:v>Nascente</x:v>
      </x:c>
      <x:c r="E12" s="15" t="str">
        <x:v>Jalapão</x:v>
      </x:c>
      <x:c r="F12" s="15" t="str">
        <x:v>A confirmar</x:v>
      </x:c>
      <x:c r="G12" s="15" t="str"/>
      <x:c r="H12" s="15" t="str">
        <x:v>pendente</x:v>
      </x:c>
      <x:c r="I12" s="15" t="str">
        <x:v>sem_foto_licenciada</x:v>
      </x:c>
      <x:c r="J12" s="15" t="str"/>
      <x:c r="K12" s="15" t="str"/>
      <x:c r="L12" s="15" t="str"/>
      <x:c r="M12" s="15" t="str"/>
      <x:c r="N12" s="15" t="str"/>
      <x:c r="O12" s="15" t="str"/>
      <x:c r="P12" s="15" t="str">
        <x:v>https://www.google.com/maps/search/?api=1&amp;query=Nascente+do+Peixinho%2C+Tocantins%2C+Brasil</x:v>
      </x:c>
      <x:c r="Q12" s="15" t="str">
        <x:v>https://www.google.com/search?tbm=isch&amp;q=Nascente+do+Peixinho%2C+Tocantins%2C+Brasil</x:v>
      </x:c>
      <x:c r="R12" s="15" t="str">
        <x:v>novo</x:v>
      </x:c>
      <x:c r="S12" s="15" t="str">
        <x:v>Município ainda não corroborado por fonte independente.</x:v>
      </x:c>
      <x:c r="T12" s="15" t="str">
        <x:v>nascente-do-peixinho</x:v>
      </x:c>
      <x:c r="U12" s="15" t="str">
        <x:v>somente_mapa</x:v>
      </x:c>
    </x:row>
    <x:row r="13" ht="22" customHeight="1">
      <x:c r="A13" s="15" t="str">
        <x:v>12</x:v>
      </x:c>
      <x:c r="B13" s="15" t="str">
        <x:v>Praia dos Rios</x:v>
      </x:c>
      <x:c r="C13" s="15" t="str">
        <x:v>Praia dos Rios</x:v>
      </x:c>
      <x:c r="D13" s="15" t="str">
        <x:v>Praia fluvial</x:v>
      </x:c>
      <x:c r="E13" s="15" t="str">
        <x:v>Jalapão</x:v>
      </x:c>
      <x:c r="F13" s="15" t="str">
        <x:v>A confirmar</x:v>
      </x:c>
      <x:c r="G13" s="15" t="str"/>
      <x:c r="H13" s="15" t="str">
        <x:v>pendente</x:v>
      </x:c>
      <x:c r="I13" s="15" t="str">
        <x:v>sem_foto_licenciada</x:v>
      </x:c>
      <x:c r="J13" s="15" t="str"/>
      <x:c r="K13" s="15" t="str"/>
      <x:c r="L13" s="15" t="str"/>
      <x:c r="M13" s="15" t="str"/>
      <x:c r="N13" s="15" t="str"/>
      <x:c r="O13" s="15" t="str"/>
      <x:c r="P13" s="15" t="str">
        <x:v>https://www.google.com/maps/search/?api=1&amp;query=Praia+dos+Rios%2C+Tocantins%2C+Brasil</x:v>
      </x:c>
      <x:c r="Q13" s="15" t="str">
        <x:v>https://www.google.com/search?tbm=isch&amp;q=Praia+dos+Rios%2C+Tocantins%2C+Brasil</x:v>
      </x:c>
      <x:c r="R13" s="15" t="str">
        <x:v>novo</x:v>
      </x:c>
      <x:c r="S13" s="15" t="str">
        <x:v>Município ainda não corroborado por fonte independente.</x:v>
      </x:c>
      <x:c r="T13" s="15" t="str">
        <x:v>praia-dos-rios</x:v>
      </x:c>
      <x:c r="U13" s="15" t="str">
        <x:v>somente_mapa</x:v>
      </x:c>
    </x:row>
    <x:row r="14" ht="22" customHeight="1">
      <x:c r="A14" s="15" t="str">
        <x:v>13</x:v>
      </x:c>
      <x:c r="B14" s="15" t="str">
        <x:v>Serra da Catedral</x:v>
      </x:c>
      <x:c r="C14" s="15" t="str">
        <x:v>Serra da Catedral</x:v>
      </x:c>
      <x:c r="D14" s="15" t="str">
        <x:v>Serra/mirante</x:v>
      </x:c>
      <x:c r="E14" s="15" t="str">
        <x:v>Jalapão</x:v>
      </x:c>
      <x:c r="F14" s="15" t="str">
        <x:v>Encantos do Jalapão</x:v>
      </x:c>
      <x:c r="G14" s="15" t="str">
        <x:v>São Félix do Tocantins</x:v>
      </x:c>
      <x:c r="H14" s="15" t="str">
        <x:v>corroborado</x:v>
      </x:c>
      <x:c r="I14" s="15" t="str">
        <x:v>foto_licenciada</x:v>
      </x:c>
      <x:c r="J14" s="15" t="str">
        <x:v>https://commons.wikimedia.org/wiki/Special:FilePath/Imagem_da_Serra_da_Catedral.jpg?width=960</x:v>
      </x:c>
      <x:c r="K14" s="15" t="str">
        <x:v>https://commons.wikimedia.org/wiki/File:Imagem_da_Serra_da_Catedral.jpg</x:v>
      </x:c>
      <x:c r="L14" s="15" t="str">
        <x:v>Manoel Rebello de Rezende Filho</x:v>
      </x:c>
      <x:c r="M14" s="15" t="str">
        <x:v>CC BY-SA 4.0</x:v>
      </x:c>
      <x:c r="N14" s="15" t="str">
        <x:v>https://saofelix.to.gov.br/</x:v>
      </x:c>
      <x:c r="O14" s="15" t="str"/>
      <x:c r="P14" s="15" t="str">
        <x:v>https://www.google.com/maps/search/?api=1&amp;query=Serra+da+Catedral%2C+S%C3%A3o+F%C3%A9lix+do+Tocantins%2C+Tocantins%2C+Brasil</x:v>
      </x:c>
      <x:c r="Q14" s="15" t="str">
        <x:v>https://www.google.com/search?tbm=isch&amp;q=Serra+da+Catedral%2C+S%C3%A3o+F%C3%A9lix+do+Tocantins%2C+Tocantins%2C+Brasil</x:v>
      </x:c>
      <x:c r="R14" s="15" t="str">
        <x:v>confirmada_por_nome</x:v>
      </x:c>
      <x:c r="S14" s="15" t="str">
        <x:v>Imagem herdada do catálogo anterior; conferir novamente os metadados do Wikimedia antes de publicação definitiva.</x:v>
      </x:c>
      <x:c r="T14" s="15" t="str">
        <x:v>serra-catedral</x:v>
      </x:c>
      <x:c r="U14" s="15" t="str">
        <x:v>documentado_por_fonte</x:v>
      </x:c>
    </x:row>
    <x:row r="15" ht="22" customHeight="1">
      <x:c r="A15" s="15" t="str">
        <x:v>14</x:v>
      </x:c>
      <x:c r="B15" s="15" t="str">
        <x:v>Prainha do Rio Novo</x:v>
      </x:c>
      <x:c r="C15" s="15" t="str">
        <x:v>Prainha do Rio Novo</x:v>
      </x:c>
      <x:c r="D15" s="15" t="str">
        <x:v>Praia fluvial</x:v>
      </x:c>
      <x:c r="E15" s="15" t="str">
        <x:v>Jalapão</x:v>
      </x:c>
      <x:c r="F15" s="15" t="str">
        <x:v>Encantos do Jalapão</x:v>
      </x:c>
      <x:c r="G15" s="15" t="str">
        <x:v>Mateiros</x:v>
      </x:c>
      <x:c r="H15" s="15" t="str">
        <x:v>corroborado</x:v>
      </x:c>
      <x:c r="I15" s="15" t="str">
        <x:v>foto_licenciada</x:v>
      </x:c>
      <x:c r="J15" s="15" t="str">
        <x:v>https://commons.wikimedia.org/wiki/Special:FilePath/Prainha_do_Rio_Novo_-_Jalap%C3%A3o_(1)_(53037332474).jpg?width=960</x:v>
      </x:c>
      <x:c r="K15" s="15" t="str">
        <x:v>https://commons.wikimedia.org/wiki/File:Prainha_do_Rio_Novo_-_Jalap%C3%A3o_(1)_(53037332474).jpg</x:v>
      </x:c>
      <x:c r="L15" s="15" t="str">
        <x:v>Alexandre Marino</x:v>
      </x:c>
      <x:c r="M15" s="15" t="str">
        <x:v>CC BY-SA 2.0</x:v>
      </x:c>
      <x:c r="N15" s="15" t="str">
        <x:v>https://jalapaotocantins.to.gov.br/</x:v>
      </x:c>
      <x:c r="O15" s="15" t="str"/>
      <x:c r="P15" s="15" t="str">
        <x:v>https://www.google.com/maps/search/?api=1&amp;query=Prainha+do+Rio+Novo%2C+Mateiros%2C+Tocantins%2C+Brasil</x:v>
      </x:c>
      <x:c r="Q15" s="15" t="str">
        <x:v>https://www.google.com/search?tbm=isch&amp;q=Prainha+do+Rio+Novo%2C+Mateiros%2C+Tocantins%2C+Brasil</x:v>
      </x:c>
      <x:c r="R15" s="15" t="str">
        <x:v>confirmada_por_nome</x:v>
      </x:c>
      <x:c r="S15" s="15" t="str">
        <x:v>Imagem herdada do catálogo anterior; conferir novamente os metadados do Wikimedia antes de publicação definitiva.</x:v>
      </x:c>
      <x:c r="T15" s="15" t="str">
        <x:v>prainha-rio-novo</x:v>
      </x:c>
      <x:c r="U15" s="15" t="str">
        <x:v>documentado_por_fonte</x:v>
      </x:c>
    </x:row>
    <x:row r="16" ht="22" customHeight="1">
      <x:c r="A16" s="15" t="str">
        <x:v>15</x:v>
      </x:c>
      <x:c r="B16" s="15" t="str">
        <x:v>Cachoeira da Velha</x:v>
      </x:c>
      <x:c r="C16" s="15" t="str">
        <x:v>Cachoeira da Velha</x:v>
      </x:c>
      <x:c r="D16" s="15" t="str">
        <x:v>Cachoeira</x:v>
      </x:c>
      <x:c r="E16" s="15" t="str">
        <x:v>Jalapão</x:v>
      </x:c>
      <x:c r="F16" s="15" t="str">
        <x:v>Encantos do Jalapão</x:v>
      </x:c>
      <x:c r="G16" s="15" t="str">
        <x:v>Mateiros</x:v>
      </x:c>
      <x:c r="H16" s="15" t="str">
        <x:v>corroborado</x:v>
      </x:c>
      <x:c r="I16" s="15" t="str">
        <x:v>foto_licenciada</x:v>
      </x:c>
      <x:c r="J16" s="15" t="str">
        <x:v>https://commons.wikimedia.org/wiki/Special:FilePath/Cachoeira_da_Velha_-_parque_estadual_do_jalap%C3%A3o.jpg?width=960</x:v>
      </x:c>
      <x:c r="K16" s="15" t="str">
        <x:v>https://commons.wikimedia.org/wiki/File:Cachoeira_da_Velha_-_parque_estadual_do_jalap%C3%A3o.jpg</x:v>
      </x:c>
      <x:c r="L16" s="15" t="str">
        <x:v>Filipe Gonzaga Ferreira</x:v>
      </x:c>
      <x:c r="M16" s="15" t="str">
        <x:v>CC BY-SA 3.0</x:v>
      </x:c>
      <x:c r="N16" s="15" t="str">
        <x:v>https://jalapaotocantins.to.gov.br/</x:v>
      </x:c>
      <x:c r="O16" s="15" t="str"/>
      <x:c r="P16" s="15" t="str">
        <x:v>https://www.google.com/maps/search/?api=1&amp;query=Cachoeira+da+Velha%2C+Mateiros%2C+Tocantins%2C+Brasil</x:v>
      </x:c>
      <x:c r="Q16" s="15" t="str">
        <x:v>https://www.google.com/search?tbm=isch&amp;q=Cachoeira+da+Velha%2C+Mateiros%2C+Tocantins%2C+Brasil</x:v>
      </x:c>
      <x:c r="R16" s="15" t="str">
        <x:v>confirmada_por_nome</x:v>
      </x:c>
      <x:c r="S16" s="15" t="str">
        <x:v>Imagem herdada do catálogo anterior; conferir novamente os metadados do Wikimedia antes de publicação definitiva.</x:v>
      </x:c>
      <x:c r="T16" s="15" t="str">
        <x:v>cachoeira-velha</x:v>
      </x:c>
      <x:c r="U16" s="15" t="str">
        <x:v>documentado_por_fonte</x:v>
      </x:c>
    </x:row>
    <x:row r="17" ht="22" customHeight="1">
      <x:c r="A17" s="15" t="str">
        <x:v>16</x:v>
      </x:c>
      <x:c r="B17" s="15" t="str">
        <x:v>Dunas</x:v>
      </x:c>
      <x:c r="C17" s="15" t="str">
        <x:v>Dunas do Jalapão</x:v>
      </x:c>
      <x:c r="D17" s="15" t="str">
        <x:v>Dunas</x:v>
      </x:c>
      <x:c r="E17" s="15" t="str">
        <x:v>Jalapão</x:v>
      </x:c>
      <x:c r="F17" s="15" t="str">
        <x:v>Encantos do Jalapão</x:v>
      </x:c>
      <x:c r="G17" s="15" t="str">
        <x:v>Mateiros</x:v>
      </x:c>
      <x:c r="H17" s="15" t="str">
        <x:v>corroborado</x:v>
      </x:c>
      <x:c r="I17" s="15" t="str">
        <x:v>foto_licenciada</x:v>
      </x:c>
      <x:c r="J17" s="15" t="str">
        <x:v>https://commons.wikimedia.org/wiki/Special:FilePath/Dunas_do_Jalap%C3%A3o_com_a_Serra_do_Esp%C3%ADrito_Santo.jpg?width=960</x:v>
      </x:c>
      <x:c r="K17" s="15" t="str">
        <x:v>https://commons.wikimedia.org/wiki/File:Dunas_do_Jalap%C3%A3o_com_a_Serra_do_Esp%C3%ADrito_Santo.jpg</x:v>
      </x:c>
      <x:c r="L17" s="15" t="str">
        <x:v>Amanda Santiago</x:v>
      </x:c>
      <x:c r="M17" s="15" t="str">
        <x:v>CC BY-SA 4.0</x:v>
      </x:c>
      <x:c r="N17" s="15" t="str">
        <x:v>https://jalapaotocantins.to.gov.br/</x:v>
      </x:c>
      <x:c r="O17" s="15" t="str"/>
      <x:c r="P17" s="15" t="str">
        <x:v>https://www.google.com/maps/search/?api=1&amp;query=Dunas%2C+Mateiros%2C+Tocantins%2C+Brasil</x:v>
      </x:c>
      <x:c r="Q17" s="15" t="str">
        <x:v>https://www.google.com/search?tbm=isch&amp;q=Dunas%2C+Mateiros%2C+Tocantins%2C+Brasil</x:v>
      </x:c>
      <x:c r="R17" s="15" t="str">
        <x:v>confirmada_por_nome</x:v>
      </x:c>
      <x:c r="S17" s="15" t="str">
        <x:v>Imagem herdada do catálogo anterior; conferir novamente os metadados do Wikimedia antes de publicação definitiva.</x:v>
      </x:c>
      <x:c r="T17" s="15" t="str">
        <x:v>dunas-jalapao</x:v>
      </x:c>
      <x:c r="U17" s="15" t="str">
        <x:v>documentado_por_fonte</x:v>
      </x:c>
    </x:row>
    <x:row r="18" ht="22" customHeight="1">
      <x:c r="A18" s="15" t="str">
        <x:v>17</x:v>
      </x:c>
      <x:c r="B18" s="15" t="str">
        <x:v>Serra do Espírito Santo</x:v>
      </x:c>
      <x:c r="C18" s="15" t="str">
        <x:v>Serra do Espírito Santo</x:v>
      </x:c>
      <x:c r="D18" s="15" t="str">
        <x:v>Serra/mirante</x:v>
      </x:c>
      <x:c r="E18" s="15" t="str">
        <x:v>Jalapão</x:v>
      </x:c>
      <x:c r="F18" s="15" t="str">
        <x:v>Encantos do Jalapão</x:v>
      </x:c>
      <x:c r="G18" s="15" t="str">
        <x:v>Mateiros</x:v>
      </x:c>
      <x:c r="H18" s="15" t="str">
        <x:v>corroborado</x:v>
      </x:c>
      <x:c r="I18" s="15" t="str">
        <x:v>foto_licenciada</x:v>
      </x:c>
      <x:c r="J18" s="15" t="str">
        <x:v>https://commons.wikimedia.org/wiki/Special:FilePath/Serra_do_Esp%C3%ADrito_Santo_no_Jalap%C3%A3o.jpg?width=960</x:v>
      </x:c>
      <x:c r="K18" s="15" t="str">
        <x:v>https://commons.wikimedia.org/wiki/File:Serra_do_Esp%C3%ADrito_Santo_no_Jalap%C3%A3o.jpg</x:v>
      </x:c>
      <x:c r="L18" s="15" t="str">
        <x:v>Rodrigo José Fernandes</x:v>
      </x:c>
      <x:c r="M18" s="15" t="str">
        <x:v>CC BY-SA 4.0</x:v>
      </x:c>
      <x:c r="N18" s="15" t="str">
        <x:v>https://central3.to.gov.br/arquivo/572017/</x:v>
      </x:c>
      <x:c r="O18" s="15" t="str"/>
      <x:c r="P18" s="15" t="str">
        <x:v>https://www.google.com/maps/search/?api=1&amp;query=Serra+do+Esp%C3%ADrito+Santo%2C+Mateiros%2C+Tocantins%2C+Brasil</x:v>
      </x:c>
      <x:c r="Q18" s="15" t="str">
        <x:v>https://www.google.com/search?tbm=isch&amp;q=Serra+do+Esp%C3%ADrito+Santo%2C+Mateiros%2C+Tocantins%2C+Brasil</x:v>
      </x:c>
      <x:c r="R18" s="15" t="str">
        <x:v>confirmada_por_nome</x:v>
      </x:c>
      <x:c r="S18" s="15" t="str">
        <x:v>Imagem herdada do catálogo anterior; conferir novamente os metadados do Wikimedia antes de publicação definitiva.</x:v>
      </x:c>
      <x:c r="T18" s="15" t="str">
        <x:v>serra-espirito-santo</x:v>
      </x:c>
      <x:c r="U18" s="15" t="str">
        <x:v>documentado_por_fonte</x:v>
      </x:c>
    </x:row>
    <x:row r="19" ht="22" customHeight="1">
      <x:c r="A19" s="15" t="str">
        <x:v>18</x:v>
      </x:c>
      <x:c r="B19" s="15" t="str">
        <x:v>Povoado do Mumbuca</x:v>
      </x:c>
      <x:c r="C19" s="15" t="str">
        <x:v>Comunidade Quilombola Mumbuca</x:v>
      </x:c>
      <x:c r="D19" s="15" t="str">
        <x:v>Turismo comunitário</x:v>
      </x:c>
      <x:c r="E19" s="15" t="str">
        <x:v>Jalapão</x:v>
      </x:c>
      <x:c r="F19" s="15" t="str">
        <x:v>Encantos do Jalapão</x:v>
      </x:c>
      <x:c r="G19" s="15" t="str">
        <x:v>Mateiros</x:v>
      </x:c>
      <x:c r="H19" s="15" t="str">
        <x:v>corroborado</x:v>
      </x:c>
      <x:c r="I19" s="15" t="str">
        <x:v>foto_licenciada</x:v>
      </x:c>
      <x:c r="J19" s="15" t="str">
        <x:v>https://commons.wikimedia.org/wiki/Special:FilePath/Comunidade_quilombola_de_Mumbuca_-_Mateiros_TO_(1)_(53036616572).jpg?width=960</x:v>
      </x:c>
      <x:c r="K19" s="15" t="str">
        <x:v>https://commons.wikimedia.org/wiki/File:Comunidade_quilombola_de_Mumbuca_-_Mateiros_TO_(1)_(53036616572).jpg</x:v>
      </x:c>
      <x:c r="L19" s="15" t="str">
        <x:v>Alexandre Marino</x:v>
      </x:c>
      <x:c r="M19" s="15" t="str">
        <x:v>CC BY-SA 2.0</x:v>
      </x:c>
      <x:c r="N19" s="15" t="str">
        <x:v>https://www.gov.br/turismo/pt-br/assuntos/ultimas-noticia/jalapao-e-capim-dourado-tesouros-naturais-do-coracao-do-brasil</x:v>
      </x:c>
      <x:c r="O19" s="15" t="str"/>
      <x:c r="P19" s="15" t="str">
        <x:v>https://www.google.com/maps/search/?api=1&amp;query=Povoado+do+Mumbuca%2C+Mateiros%2C+Tocantins%2C+Brasil</x:v>
      </x:c>
      <x:c r="Q19" s="15" t="str">
        <x:v>https://www.google.com/search?tbm=isch&amp;q=Povoado+do+Mumbuca%2C+Mateiros%2C+Tocantins%2C+Brasil</x:v>
      </x:c>
      <x:c r="R19" s="15" t="str">
        <x:v>confirmada_por_nome</x:v>
      </x:c>
      <x:c r="S19" s="15" t="str">
        <x:v>Imagem herdada do catálogo anterior; conferir novamente os metadados do Wikimedia antes de publicação definitiva.</x:v>
      </x:c>
      <x:c r="T19" s="15" t="str">
        <x:v>quilombo-mumbuca</x:v>
      </x:c>
      <x:c r="U19" s="15" t="str">
        <x:v>documentado_por_fonte</x:v>
      </x:c>
    </x:row>
    <x:row r="20" ht="22" customHeight="1">
      <x:c r="A20" s="15" t="str">
        <x:v>19</x:v>
      </x:c>
      <x:c r="B20" s="15" t="str">
        <x:v>Cachoeira da Formiga</x:v>
      </x:c>
      <x:c r="C20" s="15" t="str">
        <x:v>Cachoeira do Formiga</x:v>
      </x:c>
      <x:c r="D20" s="15" t="str">
        <x:v>Cachoeira</x:v>
      </x:c>
      <x:c r="E20" s="15" t="str">
        <x:v>Jalapão</x:v>
      </x:c>
      <x:c r="F20" s="15" t="str">
        <x:v>Encantos do Jalapão</x:v>
      </x:c>
      <x:c r="G20" s="15" t="str">
        <x:v>Mateiros</x:v>
      </x:c>
      <x:c r="H20" s="15" t="str">
        <x:v>corroborado</x:v>
      </x:c>
      <x:c r="I20" s="15" t="str">
        <x:v>foto_licenciada</x:v>
      </x:c>
      <x:c r="J20" s="15" t="str">
        <x:v>https://commons.wikimedia.org/wiki/Special:FilePath/Cachoeira_do_Formiga_-_Mateiros_TO_(2)_(53037504040).jpg?width=960</x:v>
      </x:c>
      <x:c r="K20" s="15" t="str">
        <x:v>https://commons.wikimedia.org/wiki/File:Cachoeira_do_Formiga_-_Mateiros_TO_(2)_(53037504040).jpg</x:v>
      </x:c>
      <x:c r="L20" s="15" t="str">
        <x:v>Alexandre Marino</x:v>
      </x:c>
      <x:c r="M20" s="15" t="str">
        <x:v>CC BY-SA 2.0</x:v>
      </x:c>
      <x:c r="N20" s="15" t="str">
        <x:v>https://jalapaotocantins.to.gov.br/</x:v>
      </x:c>
      <x:c r="O20" s="15" t="str"/>
      <x:c r="P20" s="15" t="str">
        <x:v>https://www.google.com/maps/search/?api=1&amp;query=Cachoeira+da+Formiga%2C+Mateiros%2C+Tocantins%2C+Brasil</x:v>
      </x:c>
      <x:c r="Q20" s="15" t="str">
        <x:v>https://www.google.com/search?tbm=isch&amp;q=Cachoeira+da+Formiga%2C+Mateiros%2C+Tocantins%2C+Brasil</x:v>
      </x:c>
      <x:c r="R20" s="15" t="str">
        <x:v>confirmada_por_nome</x:v>
      </x:c>
      <x:c r="S20" s="15" t="str">
        <x:v>Imagem herdada do catálogo anterior; conferir novamente os metadados do Wikimedia antes de publicação definitiva.</x:v>
      </x:c>
      <x:c r="T20" s="15" t="str">
        <x:v>cachoeira-formiga</x:v>
      </x:c>
      <x:c r="U20" s="15" t="str">
        <x:v>documentado_por_fonte</x:v>
      </x:c>
    </x:row>
    <x:row r="21" ht="22" customHeight="1">
      <x:c r="A21" s="15" t="str">
        <x:v>20</x:v>
      </x:c>
      <x:c r="B21" s="15" t="str">
        <x:v>Cachoeira do Prata</x:v>
      </x:c>
      <x:c r="C21" s="15" t="str">
        <x:v>Cachoeira do Prata</x:v>
      </x:c>
      <x:c r="D21" s="15" t="str">
        <x:v>Cachoeira</x:v>
      </x:c>
      <x:c r="E21" s="15" t="str">
        <x:v>Jalapão</x:v>
      </x:c>
      <x:c r="F21" s="15" t="str">
        <x:v>A confirmar</x:v>
      </x:c>
      <x:c r="G21" s="15" t="str"/>
      <x:c r="H21" s="15" t="str">
        <x:v>pendente</x:v>
      </x:c>
      <x:c r="I21" s="15" t="str">
        <x:v>sem_foto_licenciada</x:v>
      </x:c>
      <x:c r="J21" s="15" t="str"/>
      <x:c r="K21" s="15" t="str"/>
      <x:c r="L21" s="15" t="str"/>
      <x:c r="M21" s="15" t="str"/>
      <x:c r="N21" s="15" t="str"/>
      <x:c r="O21" s="15" t="str"/>
      <x:c r="P21" s="15" t="str">
        <x:v>https://www.google.com/maps/search/?api=1&amp;query=Cachoeira+do+Prata%2C+Tocantins%2C+Brasil</x:v>
      </x:c>
      <x:c r="Q21" s="15" t="str">
        <x:v>https://www.google.com/search?tbm=isch&amp;q=Cachoeira+do+Prata%2C+Tocantins%2C+Brasil</x:v>
      </x:c>
      <x:c r="R21" s="15" t="str">
        <x:v>novo</x:v>
      </x:c>
      <x:c r="S21" s="15" t="str">
        <x:v>Município ainda não corroborado por fonte independente.</x:v>
      </x:c>
      <x:c r="T21" s="15" t="str">
        <x:v>cachoeira-do-prata</x:v>
      </x:c>
      <x:c r="U21" s="15" t="str">
        <x:v>somente_mapa</x:v>
      </x:c>
    </x:row>
    <x:row r="22" ht="22" customHeight="1">
      <x:c r="A22" s="15" t="str">
        <x:v>21</x:v>
      </x:c>
      <x:c r="B22" s="15" t="str">
        <x:v>Morro do Sereno</x:v>
      </x:c>
      <x:c r="C22" s="15" t="str">
        <x:v>Morro do Sereno</x:v>
      </x:c>
      <x:c r="D22" s="15" t="str">
        <x:v>Formação rochosa / mirante</x:v>
      </x:c>
      <x:c r="E22" s="15" t="str">
        <x:v>Jalapão</x:v>
      </x:c>
      <x:c r="F22" s="15" t="str">
        <x:v>A confirmar</x:v>
      </x:c>
      <x:c r="G22" s="15" t="str"/>
      <x:c r="H22" s="15" t="str">
        <x:v>pendente</x:v>
      </x:c>
      <x:c r="I22" s="15" t="str">
        <x:v>sem_foto_licenciada</x:v>
      </x:c>
      <x:c r="J22" s="15" t="str"/>
      <x:c r="K22" s="15" t="str"/>
      <x:c r="L22" s="15" t="str"/>
      <x:c r="M22" s="15" t="str"/>
      <x:c r="N22" s="15" t="str"/>
      <x:c r="O22" s="15" t="str"/>
      <x:c r="P22" s="15" t="str">
        <x:v>https://www.google.com/maps/search/?api=1&amp;query=Morro+do+Sereno%2C+Tocantins%2C+Brasil</x:v>
      </x:c>
      <x:c r="Q22" s="15" t="str">
        <x:v>https://www.google.com/search?tbm=isch&amp;q=Morro+do+Sereno%2C+Tocantins%2C+Brasil</x:v>
      </x:c>
      <x:c r="R22" s="15" t="str">
        <x:v>novo</x:v>
      </x:c>
      <x:c r="S22" s="15" t="str">
        <x:v>Município ainda não corroborado por fonte independente.</x:v>
      </x:c>
      <x:c r="T22" s="15" t="str">
        <x:v>morro-do-sereno</x:v>
      </x:c>
      <x:c r="U22" s="15" t="str">
        <x:v>somente_mapa</x:v>
      </x:c>
    </x:row>
    <x:row r="23" ht="22" customHeight="1">
      <x:c r="A23" s="15" t="str">
        <x:v>22</x:v>
      </x:c>
      <x:c r="B23" s="15" t="str">
        <x:v>Arco do Sol</x:v>
      </x:c>
      <x:c r="C23" s="15" t="str">
        <x:v>Arco do Sol</x:v>
      </x:c>
      <x:c r="D23" s="15" t="str">
        <x:v>Formação rochosa / mirante</x:v>
      </x:c>
      <x:c r="E23" s="15" t="str">
        <x:v>Serras Gerais</x:v>
      </x:c>
      <x:c r="F23" s="15" t="str">
        <x:v>Serras Gerais</x:v>
      </x:c>
      <x:c r="G23" s="15" t="str">
        <x:v>Almas</x:v>
      </x:c>
      <x:c r="H23" s="15" t="str">
        <x:v>corroborado</x:v>
      </x:c>
      <x:c r="I23" s="15" t="str">
        <x:v>galeria_institucional_uso_pendente</x:v>
      </x:c>
      <x:c r="J23" s="15" t="str"/>
      <x:c r="K23" s="15" t="str"/>
      <x:c r="L23" s="15" t="str"/>
      <x:c r="M23" s="15" t="str"/>
      <x:c r="N23" s="15" t="str">
        <x:v>https://www.almas.to.gov.br/galerias/arco-do-sol</x:v>
      </x:c>
      <x:c r="O23" s="15" t="str">
        <x:v>https://www.almas.to.gov.br/galerias/arco-do-sol</x:v>
      </x:c>
      <x:c r="P23" s="15" t="str">
        <x:v>https://www.google.com/maps/search/?api=1&amp;query=Arco+do+Sol%2C+Almas%2C+Tocantins%2C+Brasil</x:v>
      </x:c>
      <x:c r="Q23" s="15" t="str">
        <x:v>https://www.google.com/search?tbm=isch&amp;q=Arco+do+Sol%2C+Almas%2C+Tocantins%2C+Brasil</x:v>
      </x:c>
      <x:c r="R23" s="15" t="str">
        <x:v>novo</x:v>
      </x:c>
      <x:c r="S23" s="15" t="str">
        <x:v>Galeria pública da prefeitura não implica licença para incorporar imagem no app.</x:v>
      </x:c>
      <x:c r="T23" s="15" t="str">
        <x:v>arco-do-sol</x:v>
      </x:c>
      <x:c r="U23" s="15" t="str">
        <x:v>documentado_por_fonte</x:v>
      </x:c>
    </x:row>
    <x:row r="24" ht="22" customHeight="1">
      <x:c r="A24" s="15" t="str">
        <x:v>23</x:v>
      </x:c>
      <x:c r="B24" s="15" t="str">
        <x:v>Cachoeira do Pau D'arco</x:v>
      </x:c>
      <x:c r="C24" s="15" t="str">
        <x:v>Cachoeira do Pau D'arco</x:v>
      </x:c>
      <x:c r="D24" s="15" t="str">
        <x:v>Cachoeira</x:v>
      </x:c>
      <x:c r="E24" s="15" t="str">
        <x:v>Serras Gerais</x:v>
      </x:c>
      <x:c r="F24" s="15" t="str">
        <x:v>A confirmar</x:v>
      </x:c>
      <x:c r="G24" s="15" t="str"/>
      <x:c r="H24" s="15" t="str">
        <x:v>pendente</x:v>
      </x:c>
      <x:c r="I24" s="15" t="str">
        <x:v>sem_foto_licenciada</x:v>
      </x:c>
      <x:c r="J24" s="15" t="str"/>
      <x:c r="K24" s="15" t="str"/>
      <x:c r="L24" s="15" t="str"/>
      <x:c r="M24" s="15" t="str"/>
      <x:c r="N24" s="15" t="str"/>
      <x:c r="O24" s="15" t="str"/>
      <x:c r="P24" s="15" t="str">
        <x:v>https://www.google.com/maps/search/?api=1&amp;query=Cachoeira+do+Pau+D%27arco%2C+Tocantins%2C+Brasil</x:v>
      </x:c>
      <x:c r="Q24" s="15" t="str">
        <x:v>https://www.google.com/search?tbm=isch&amp;q=Cachoeira+do+Pau+D%27arco%2C+Tocantins%2C+Brasil</x:v>
      </x:c>
      <x:c r="R24" s="15" t="str">
        <x:v>novo</x:v>
      </x:c>
      <x:c r="S24" s="15" t="str">
        <x:v>Município ainda não corroborado por fonte independente.</x:v>
      </x:c>
      <x:c r="T24" s="15" t="str">
        <x:v>cachoeira-do-pau-d-arco</x:v>
      </x:c>
      <x:c r="U24" s="15" t="str">
        <x:v>somente_mapa</x:v>
      </x:c>
    </x:row>
    <x:row r="25" ht="22" customHeight="1">
      <x:c r="A25" s="15" t="str">
        <x:v>24</x:v>
      </x:c>
      <x:c r="B25" s="15" t="str">
        <x:v>Lagoa do Japonês</x:v>
      </x:c>
      <x:c r="C25" s="15" t="str">
        <x:v>Lagoa do Japonês</x:v>
      </x:c>
      <x:c r="D25" s="15" t="str">
        <x:v>Lagoa</x:v>
      </x:c>
      <x:c r="E25" s="15" t="str">
        <x:v>Serras Gerais</x:v>
      </x:c>
      <x:c r="F25" s="15" t="str">
        <x:v>Serras Gerais</x:v>
      </x:c>
      <x:c r="G25" s="15" t="str">
        <x:v>Pindorama do Tocantins</x:v>
      </x:c>
      <x:c r="H25" s="15" t="str">
        <x:v>corroborado</x:v>
      </x:c>
      <x:c r="I25" s="15" t="str">
        <x:v>foto_licenciada</x:v>
      </x:c>
      <x:c r="J25" s="15" t="str">
        <x:v>https://commons.wikimedia.org/wiki/Special:FilePath/Esta%C3%A7%C3%A3o_Ecologica_Serra_Geral_do_Tocantins_-_Alessandro_Guimar%C3%A3es_Pereira_(01).jpg?width=960</x:v>
      </x:c>
      <x:c r="K25" s="15" t="str">
        <x:v>https://commons.wikimedia.org/wiki/File:Esta%C3%A7%C3%A3o_Ecologica_Serra_Geral_do_Tocantins_-_Alessandro_Guimar%C3%A3es_Pereira_(01).jpg</x:v>
      </x:c>
      <x:c r="L25" s="15" t="str">
        <x:v>Alessandro Guimarães Pereira (Aleper1979)</x:v>
      </x:c>
      <x:c r="M25" s="15" t="str">
        <x:v>CC BY-SA 4.0</x:v>
      </x:c>
      <x:c r="N25" s="15" t="str">
        <x:v>https://central3.to.gov.br/arquivo/572017/</x:v>
      </x:c>
      <x:c r="O25" s="15" t="str"/>
      <x:c r="P25" s="15" t="str">
        <x:v>https://www.google.com/maps/search/?api=1&amp;query=Lagoa+do+Japon%C3%AAs%2C+Pindorama+do+Tocantins%2C+Tocantins%2C+Brasil</x:v>
      </x:c>
      <x:c r="Q25" s="15" t="str">
        <x:v>https://www.google.com/search?tbm=isch&amp;q=Lagoa+do+Japon%C3%AAs%2C+Pindorama+do+Tocantins%2C+Tocantins%2C+Brasil</x:v>
      </x:c>
      <x:c r="R25" s="15" t="str">
        <x:v>confirmada_por_nome</x:v>
      </x:c>
      <x:c r="S25" s="15" t="str">
        <x:v>Imagem herdada do catálogo anterior; conferir novamente os metadados do Wikimedia antes de publicação definitiva.</x:v>
      </x:c>
      <x:c r="T25" s="15" t="str">
        <x:v>lagoa-japones</x:v>
      </x:c>
      <x:c r="U25" s="15" t="str">
        <x:v>documentado_por_fonte</x:v>
      </x:c>
    </x:row>
    <x:row r="26" ht="22" customHeight="1">
      <x:c r="A26" s="15" t="str">
        <x:v>25</x:v>
      </x:c>
      <x:c r="B26" s="15" t="str">
        <x:v>Cachoeira da Lagoa</x:v>
      </x:c>
      <x:c r="C26" s="15" t="str">
        <x:v>Cachoeira da Lagoa</x:v>
      </x:c>
      <x:c r="D26" s="15" t="str">
        <x:v>Cachoeira</x:v>
      </x:c>
      <x:c r="E26" s="15" t="str">
        <x:v>Serras Gerais</x:v>
      </x:c>
      <x:c r="F26" s="15" t="str">
        <x:v>A confirmar</x:v>
      </x:c>
      <x:c r="G26" s="15" t="str"/>
      <x:c r="H26" s="15" t="str">
        <x:v>pendente</x:v>
      </x:c>
      <x:c r="I26" s="15" t="str">
        <x:v>sem_foto_licenciada</x:v>
      </x:c>
      <x:c r="J26" s="15" t="str"/>
      <x:c r="K26" s="15" t="str"/>
      <x:c r="L26" s="15" t="str"/>
      <x:c r="M26" s="15" t="str"/>
      <x:c r="N26" s="15" t="str"/>
      <x:c r="O26" s="15" t="str"/>
      <x:c r="P26" s="15" t="str">
        <x:v>https://www.google.com/maps/search/?api=1&amp;query=Cachoeira+da+Lagoa%2C+Tocantins%2C+Brasil</x:v>
      </x:c>
      <x:c r="Q26" s="15" t="str">
        <x:v>https://www.google.com/search?tbm=isch&amp;q=Cachoeira+da+Lagoa%2C+Tocantins%2C+Brasil</x:v>
      </x:c>
      <x:c r="R26" s="15" t="str">
        <x:v>novo</x:v>
      </x:c>
      <x:c r="S26" s="15" t="str">
        <x:v>Município ainda não corroborado por fonte independente.</x:v>
      </x:c>
      <x:c r="T26" s="15" t="str">
        <x:v>cachoeira-da-lagoa</x:v>
      </x:c>
      <x:c r="U26" s="15" t="str">
        <x:v>somente_mapa</x:v>
      </x:c>
    </x:row>
    <x:row r="27" ht="22" customHeight="1">
      <x:c r="A27" s="15" t="str">
        <x:v>26</x:v>
      </x:c>
      <x:c r="B27" s="15" t="str">
        <x:v>Cachoeira da Usina</x:v>
      </x:c>
      <x:c r="C27" s="15" t="str">
        <x:v>Cachoeira da Usina</x:v>
      </x:c>
      <x:c r="D27" s="15" t="str">
        <x:v>Cachoeira</x:v>
      </x:c>
      <x:c r="E27" s="15" t="str">
        <x:v>Serras Gerais</x:v>
      </x:c>
      <x:c r="F27" s="15" t="str">
        <x:v>A confirmar</x:v>
      </x:c>
      <x:c r="G27" s="15" t="str"/>
      <x:c r="H27" s="15" t="str">
        <x:v>pendente</x:v>
      </x:c>
      <x:c r="I27" s="15" t="str">
        <x:v>sem_foto_licenciada</x:v>
      </x:c>
      <x:c r="J27" s="15" t="str"/>
      <x:c r="K27" s="15" t="str"/>
      <x:c r="L27" s="15" t="str"/>
      <x:c r="M27" s="15" t="str"/>
      <x:c r="N27" s="15" t="str"/>
      <x:c r="O27" s="15" t="str"/>
      <x:c r="P27" s="15" t="str">
        <x:v>https://www.google.com/maps/search/?api=1&amp;query=Cachoeira+da+Usina%2C+Tocantins%2C+Brasil</x:v>
      </x:c>
      <x:c r="Q27" s="15" t="str">
        <x:v>https://www.google.com/search?tbm=isch&amp;q=Cachoeira+da+Usina%2C+Tocantins%2C+Brasil</x:v>
      </x:c>
      <x:c r="R27" s="15" t="str">
        <x:v>novo</x:v>
      </x:c>
      <x:c r="S27" s="15" t="str">
        <x:v>Município ainda não corroborado por fonte independente.</x:v>
      </x:c>
      <x:c r="T27" s="15" t="str">
        <x:v>cachoeira-da-usina</x:v>
      </x:c>
      <x:c r="U27" s="15" t="str">
        <x:v>somente_mapa</x:v>
      </x:c>
    </x:row>
    <x:row r="28" ht="22" customHeight="1">
      <x:c r="A28" s="15" t="str">
        <x:v>27</x:v>
      </x:c>
      <x:c r="B28" s="15" t="str">
        <x:v>Cachoeira do Urubu Rei</x:v>
      </x:c>
      <x:c r="C28" s="15" t="str">
        <x:v>Cachoeira do Urubu Rei</x:v>
      </x:c>
      <x:c r="D28" s="15" t="str">
        <x:v>Cachoeira</x:v>
      </x:c>
      <x:c r="E28" s="15" t="str">
        <x:v>Serras Gerais</x:v>
      </x:c>
      <x:c r="F28" s="15" t="str">
        <x:v>Serras Gerais</x:v>
      </x:c>
      <x:c r="G28" s="15" t="str">
        <x:v>Almas</x:v>
      </x:c>
      <x:c r="H28" s="15" t="str">
        <x:v>corroborado</x:v>
      </x:c>
      <x:c r="I28" s="15" t="str">
        <x:v>galeria_institucional_uso_pendente</x:v>
      </x:c>
      <x:c r="J28" s="15" t="str"/>
      <x:c r="K28" s="15" t="str"/>
      <x:c r="L28" s="15" t="str"/>
      <x:c r="M28" s="15" t="str"/>
      <x:c r="N28" s="15" t="str">
        <x:v>https://www.almas.to.gov.br/galerias/cachoeira-do-urubu-rei</x:v>
      </x:c>
      <x:c r="O28" s="15" t="str">
        <x:v>https://www.almas.to.gov.br/galerias/cachoeira-do-urubu-rei</x:v>
      </x:c>
      <x:c r="P28" s="15" t="str">
        <x:v>https://www.google.com/maps/search/?api=1&amp;query=Cachoeira+do+Urubu+Rei%2C+Almas%2C+Tocantins%2C+Brasil</x:v>
      </x:c>
      <x:c r="Q28" s="15" t="str">
        <x:v>https://www.google.com/search?tbm=isch&amp;q=Cachoeira+do+Urubu+Rei%2C+Almas%2C+Tocantins%2C+Brasil</x:v>
      </x:c>
      <x:c r="R28" s="15" t="str">
        <x:v>novo</x:v>
      </x:c>
      <x:c r="S28" s="15" t="str">
        <x:v>ATENÇÃO: Wikimedia Commons contém outra Cachoeira do Urubu Rei em Cavalcante (GO), que não pode ser usada para este POI. Galeria pública da prefeitura não implica licença para incorporar imagem no app.</x:v>
      </x:c>
      <x:c r="T28" s="15" t="str">
        <x:v>cachoeira-do-urubu-rei</x:v>
      </x:c>
      <x:c r="U28" s="15" t="str">
        <x:v>documentado_por_fonte</x:v>
      </x:c>
    </x:row>
    <x:row r="29" ht="22" customHeight="1">
      <x:c r="A29" s="15" t="str">
        <x:v>28</x:v>
      </x:c>
      <x:c r="B29" s="15" t="str">
        <x:v>Cachoeira do Pião</x:v>
      </x:c>
      <x:c r="C29" s="15" t="str">
        <x:v>Cachoeira do Pião</x:v>
      </x:c>
      <x:c r="D29" s="15" t="str">
        <x:v>Cachoeira</x:v>
      </x:c>
      <x:c r="E29" s="15" t="str">
        <x:v>Serras Gerais</x:v>
      </x:c>
      <x:c r="F29" s="15" t="str">
        <x:v>A confirmar</x:v>
      </x:c>
      <x:c r="G29" s="15" t="str"/>
      <x:c r="H29" s="15" t="str">
        <x:v>pendente</x:v>
      </x:c>
      <x:c r="I29" s="15" t="str">
        <x:v>sem_foto_licenciada</x:v>
      </x:c>
      <x:c r="J29" s="15" t="str"/>
      <x:c r="K29" s="15" t="str"/>
      <x:c r="L29" s="15" t="str"/>
      <x:c r="M29" s="15" t="str"/>
      <x:c r="N29" s="15" t="str"/>
      <x:c r="O29" s="15" t="str"/>
      <x:c r="P29" s="15" t="str">
        <x:v>https://www.google.com/maps/search/?api=1&amp;query=Cachoeira+do+Pi%C3%A3o%2C+Tocantins%2C+Brasil</x:v>
      </x:c>
      <x:c r="Q29" s="15" t="str">
        <x:v>https://www.google.com/search?tbm=isch&amp;q=Cachoeira+do+Pi%C3%A3o%2C+Tocantins%2C+Brasil</x:v>
      </x:c>
      <x:c r="R29" s="15" t="str">
        <x:v>novo</x:v>
      </x:c>
      <x:c r="S29" s="15" t="str">
        <x:v>Município ainda não corroborado por fonte independente.</x:v>
      </x:c>
      <x:c r="T29" s="15" t="str">
        <x:v>cachoeira-do-piao</x:v>
      </x:c>
      <x:c r="U29" s="15" t="str">
        <x:v>somente_mapa</x:v>
      </x:c>
    </x:row>
    <x:row r="30" ht="22" customHeight="1">
      <x:c r="A30" s="15" t="str">
        <x:v>29</x:v>
      </x:c>
      <x:c r="B30" s="15" t="str">
        <x:v>Cachoeira do Sobrado</x:v>
      </x:c>
      <x:c r="C30" s="15" t="str">
        <x:v>Cachoeira do Sobrado</x:v>
      </x:c>
      <x:c r="D30" s="15" t="str">
        <x:v>Cachoeira</x:v>
      </x:c>
      <x:c r="E30" s="15" t="str">
        <x:v>Serras Gerais</x:v>
      </x:c>
      <x:c r="F30" s="15" t="str">
        <x:v>A confirmar</x:v>
      </x:c>
      <x:c r="G30" s="15" t="str"/>
      <x:c r="H30" s="15" t="str">
        <x:v>pendente</x:v>
      </x:c>
      <x:c r="I30" s="15" t="str">
        <x:v>sem_foto_licenciada</x:v>
      </x:c>
      <x:c r="J30" s="15" t="str"/>
      <x:c r="K30" s="15" t="str"/>
      <x:c r="L30" s="15" t="str"/>
      <x:c r="M30" s="15" t="str"/>
      <x:c r="N30" s="15" t="str"/>
      <x:c r="O30" s="15" t="str"/>
      <x:c r="P30" s="15" t="str">
        <x:v>https://www.google.com/maps/search/?api=1&amp;query=Cachoeira+do+Sobrado%2C+Tocantins%2C+Brasil</x:v>
      </x:c>
      <x:c r="Q30" s="15" t="str">
        <x:v>https://www.google.com/search?tbm=isch&amp;q=Cachoeira+do+Sobrado%2C+Tocantins%2C+Brasil</x:v>
      </x:c>
      <x:c r="R30" s="15" t="str">
        <x:v>novo</x:v>
      </x:c>
      <x:c r="S30" s="15" t="str">
        <x:v>Município ainda não corroborado por fonte independente.</x:v>
      </x:c>
      <x:c r="T30" s="15" t="str">
        <x:v>cachoeira-do-sobrado</x:v>
      </x:c>
      <x:c r="U30" s="15" t="str">
        <x:v>somente_mapa</x:v>
      </x:c>
    </x:row>
    <x:row r="31" ht="22" customHeight="1">
      <x:c r="A31" s="15" t="str">
        <x:v>30</x:v>
      </x:c>
      <x:c r="B31" s="15" t="str">
        <x:v>Cachoeira da Cortina</x:v>
      </x:c>
      <x:c r="C31" s="15" t="str">
        <x:v>Cachoeira da Cortina</x:v>
      </x:c>
      <x:c r="D31" s="15" t="str">
        <x:v>Cachoeira</x:v>
      </x:c>
      <x:c r="E31" s="15" t="str">
        <x:v>Serras Gerais</x:v>
      </x:c>
      <x:c r="F31" s="15" t="str">
        <x:v>Serras Gerais</x:v>
      </x:c>
      <x:c r="G31" s="15" t="str">
        <x:v>Almas</x:v>
      </x:c>
      <x:c r="H31" s="15" t="str">
        <x:v>corroborado</x:v>
      </x:c>
      <x:c r="I31" s="15" t="str">
        <x:v>galeria_institucional_uso_pendente</x:v>
      </x:c>
      <x:c r="J31" s="15" t="str"/>
      <x:c r="K31" s="15" t="str"/>
      <x:c r="L31" s="15" t="str"/>
      <x:c r="M31" s="15" t="str"/>
      <x:c r="N31" s="15" t="str">
        <x:v>https://www.almas.to.gov.br/galerias/cachoeira-da-cortina</x:v>
      </x:c>
      <x:c r="O31" s="15" t="str">
        <x:v>https://www.almas.to.gov.br/galerias/cachoeira-da-cortina</x:v>
      </x:c>
      <x:c r="P31" s="15" t="str">
        <x:v>https://www.google.com/maps/search/?api=1&amp;query=Cachoeira+da+Cortina%2C+Almas%2C+Tocantins%2C+Brasil</x:v>
      </x:c>
      <x:c r="Q31" s="15" t="str">
        <x:v>https://www.google.com/search?tbm=isch&amp;q=Cachoeira+da+Cortina%2C+Almas%2C+Tocantins%2C+Brasil</x:v>
      </x:c>
      <x:c r="R31" s="15" t="str">
        <x:v>novo</x:v>
      </x:c>
      <x:c r="S31" s="15" t="str">
        <x:v>Galeria pública da prefeitura não implica licença para incorporar imagem no app.</x:v>
      </x:c>
      <x:c r="T31" s="15" t="str">
        <x:v>cachoeira-da-cortina</x:v>
      </x:c>
      <x:c r="U31" s="15" t="str">
        <x:v>documentado_por_fonte</x:v>
      </x:c>
    </x:row>
    <x:row r="32" ht="22" customHeight="1">
      <x:c r="A32" s="15" t="str">
        <x:v>31</x:v>
      </x:c>
      <x:c r="B32" s="15" t="str">
        <x:v>Cachoeira dos Pelados</x:v>
      </x:c>
      <x:c r="C32" s="15" t="str">
        <x:v>Cachoeira dos Pelados</x:v>
      </x:c>
      <x:c r="D32" s="15" t="str">
        <x:v>Cachoeira</x:v>
      </x:c>
      <x:c r="E32" s="15" t="str">
        <x:v>Serras Gerais</x:v>
      </x:c>
      <x:c r="F32" s="15" t="str">
        <x:v>Serras Gerais</x:v>
      </x:c>
      <x:c r="G32" s="15" t="str">
        <x:v>Almas</x:v>
      </x:c>
      <x:c r="H32" s="15" t="str">
        <x:v>corroborado</x:v>
      </x:c>
      <x:c r="I32" s="15" t="str">
        <x:v>sem_foto_licenciada</x:v>
      </x:c>
      <x:c r="J32" s="15" t="str"/>
      <x:c r="K32" s="15" t="str"/>
      <x:c r="L32" s="15" t="str"/>
      <x:c r="M32" s="15" t="str"/>
      <x:c r="N32" s="15" t="str">
        <x:v>https://www.viagensecaminhos.com/serras-gerais-tocantins/</x:v>
      </x:c>
      <x:c r="O32" s="15" t="str"/>
      <x:c r="P32" s="15" t="str">
        <x:v>https://www.google.com/maps/search/?api=1&amp;query=Cachoeira+dos+Pelados%2C+Almas%2C+Tocantins%2C+Brasil</x:v>
      </x:c>
      <x:c r="Q32" s="15" t="str">
        <x:v>https://www.google.com/search?tbm=isch&amp;q=Cachoeira+dos+Pelados%2C+Almas%2C+Tocantins%2C+Brasil</x:v>
      </x:c>
      <x:c r="R32" s="15" t="str">
        <x:v>novo</x:v>
      </x:c>
      <x:c r="S32" s="15" t="str"/>
      <x:c r="T32" s="15" t="str">
        <x:v>cachoeira-dos-pelados</x:v>
      </x:c>
      <x:c r="U32" s="15" t="str">
        <x:v>documentado_por_fonte</x:v>
      </x:c>
    </x:row>
    <x:row r="33" ht="22" customHeight="1">
      <x:c r="A33" s="15" t="str">
        <x:v>32</x:v>
      </x:c>
      <x:c r="B33" s="15" t="str">
        <x:v>Cidade de Pedra</x:v>
      </x:c>
      <x:c r="C33" s="15" t="str">
        <x:v>Cidade de Pedra</x:v>
      </x:c>
      <x:c r="D33" s="15" t="str">
        <x:v>Formação rochosa / mirante</x:v>
      </x:c>
      <x:c r="E33" s="15" t="str">
        <x:v>Serras Gerais</x:v>
      </x:c>
      <x:c r="F33" s="15" t="str">
        <x:v>Serras Gerais</x:v>
      </x:c>
      <x:c r="G33" s="15" t="str">
        <x:v>Almas</x:v>
      </x:c>
      <x:c r="H33" s="15" t="str">
        <x:v>corroborado</x:v>
      </x:c>
      <x:c r="I33" s="15" t="str">
        <x:v>sem_foto_licenciada</x:v>
      </x:c>
      <x:c r="J33" s="15" t="str"/>
      <x:c r="K33" s="15" t="str"/>
      <x:c r="L33" s="15" t="str"/>
      <x:c r="M33" s="15" t="str"/>
      <x:c r="N33" s="15" t="str">
        <x:v>https://central3.to.gov.br/arquivo/572017/</x:v>
      </x:c>
      <x:c r="O33" s="15" t="str"/>
      <x:c r="P33" s="15" t="str">
        <x:v>https://www.google.com/maps/search/?api=1&amp;query=Cidade+de+Pedra%2C+Almas%2C+Tocantins%2C+Brasil</x:v>
      </x:c>
      <x:c r="Q33" s="15" t="str">
        <x:v>https://www.google.com/search?tbm=isch&amp;q=Cidade+de+Pedra%2C+Almas%2C+Tocantins%2C+Brasil</x:v>
      </x:c>
      <x:c r="R33" s="15" t="str">
        <x:v>novo</x:v>
      </x:c>
      <x:c r="S33" s="15" t="str"/>
      <x:c r="T33" s="15" t="str">
        <x:v>cidade-de-pedra</x:v>
      </x:c>
      <x:c r="U33" s="15" t="str">
        <x:v>documentado_por_fonte</x:v>
      </x:c>
    </x:row>
    <x:row r="34" ht="22" customHeight="1">
      <x:c r="A34" s="15" t="str">
        <x:v>33</x:v>
      </x:c>
      <x:c r="B34" s="15" t="str">
        <x:v>Cânion Encantado</x:v>
      </x:c>
      <x:c r="C34" s="15" t="str">
        <x:v>Cânion Encantado</x:v>
      </x:c>
      <x:c r="D34" s="15" t="str">
        <x:v>Cânion</x:v>
      </x:c>
      <x:c r="E34" s="15" t="str">
        <x:v>Serras Gerais</x:v>
      </x:c>
      <x:c r="F34" s="15" t="str">
        <x:v>Serras Gerais</x:v>
      </x:c>
      <x:c r="G34" s="15" t="str">
        <x:v>Almas</x:v>
      </x:c>
      <x:c r="H34" s="15" t="str">
        <x:v>corroborado</x:v>
      </x:c>
      <x:c r="I34" s="15" t="str">
        <x:v>foto_licenciada</x:v>
      </x:c>
      <x:c r="J34" s="15" t="str">
        <x:v>https://commons.wikimedia.org/wiki/Special:FilePath/Esta%C3%A7%C3%A3o_Ecologica_Serra_Geral_do_Tocantins_Jo%C3%A3o_Paulo_Marques_Dandretta_(1).jpg?width=960</x:v>
      </x:c>
      <x:c r="K34" s="15" t="str">
        <x:v>https://commons.wikimedia.org/wiki/File:Esta%C3%A7%C3%A3o_Ecologica_Serra_Geral_do_Tocantins_Jo%C3%A3o_Paulo_Marques_Dandretta_(1).jpg</x:v>
      </x:c>
      <x:c r="L34" s="15" t="str">
        <x:v>João D'Andretta</x:v>
      </x:c>
      <x:c r="M34" s="15" t="str">
        <x:v>CC BY-SA 4.0</x:v>
      </x:c>
      <x:c r="N34" s="15" t="str">
        <x:v>https://central3.to.gov.br/arquivo/572017/</x:v>
      </x:c>
      <x:c r="O34" s="15" t="str"/>
      <x:c r="P34" s="15" t="str">
        <x:v>https://www.google.com/maps/search/?api=1&amp;query=C%C3%A2nion+Encantado%2C+Almas%2C+Tocantins%2C+Brasil</x:v>
      </x:c>
      <x:c r="Q34" s="15" t="str">
        <x:v>https://www.google.com/search?tbm=isch&amp;q=C%C3%A2nion+Encantado%2C+Almas%2C+Tocantins%2C+Brasil</x:v>
      </x:c>
      <x:c r="R34" s="15" t="str">
        <x:v>confirmada_por_nome</x:v>
      </x:c>
      <x:c r="S34" s="15" t="str">
        <x:v>Imagem herdada do catálogo anterior; conferir novamente os metadados do Wikimedia antes de publicação definitiva.</x:v>
      </x:c>
      <x:c r="T34" s="15" t="str">
        <x:v>canion-encantado</x:v>
      </x:c>
      <x:c r="U34" s="15" t="str">
        <x:v>documentado_por_fonte</x:v>
      </x:c>
    </x:row>
    <x:row r="35" ht="22" customHeight="1">
      <x:c r="A35" s="15" t="str">
        <x:v>34</x:v>
      </x:c>
      <x:c r="B35" s="15" t="str">
        <x:v>Cachoeira da Fumaça</x:v>
      </x:c>
      <x:c r="C35" s="15" t="str">
        <x:v>Cachoeira da Fumaça</x:v>
      </x:c>
      <x:c r="D35" s="15" t="str">
        <x:v>Cachoeira</x:v>
      </x:c>
      <x:c r="E35" s="15" t="str">
        <x:v>Serras Gerais</x:v>
      </x:c>
      <x:c r="F35" s="15" t="str">
        <x:v>Serras Gerais</x:v>
      </x:c>
      <x:c r="G35" s="15" t="str">
        <x:v>Almas</x:v>
      </x:c>
      <x:c r="H35" s="15" t="str">
        <x:v>corroborado</x:v>
      </x:c>
      <x:c r="I35" s="15" t="str">
        <x:v>galeria_institucional_uso_pendente</x:v>
      </x:c>
      <x:c r="J35" s="15" t="str"/>
      <x:c r="K35" s="15" t="str"/>
      <x:c r="L35" s="15" t="str"/>
      <x:c r="M35" s="15" t="str"/>
      <x:c r="N35" s="15" t="str">
        <x:v>https://www.almas.to.gov.br/galerias/cachoeira-da-fumaca</x:v>
      </x:c>
      <x:c r="O35" s="15" t="str">
        <x:v>https://www.almas.to.gov.br/galerias/cachoeira-da-fumaca</x:v>
      </x:c>
      <x:c r="P35" s="15" t="str">
        <x:v>https://www.google.com/maps/search/?api=1&amp;query=Cachoeira+da+Fuma%C3%A7a%2C+Almas%2C+Tocantins%2C+Brasil</x:v>
      </x:c>
      <x:c r="Q35" s="15" t="str">
        <x:v>https://www.google.com/search?tbm=isch&amp;q=Cachoeira+da+Fuma%C3%A7a%2C+Almas%2C+Tocantins%2C+Brasil</x:v>
      </x:c>
      <x:c r="R35" s="15" t="str">
        <x:v>novo</x:v>
      </x:c>
      <x:c r="S35" s="15" t="str">
        <x:v>Galeria pública da prefeitura não implica licença para incorporar imagem no app.</x:v>
      </x:c>
      <x:c r="T35" s="15" t="str">
        <x:v>cachoeira-da-fumaca</x:v>
      </x:c>
      <x:c r="U35" s="15" t="str">
        <x:v>documentado_por_fonte</x:v>
      </x:c>
    </x:row>
    <x:row r="36" ht="22" customHeight="1">
      <x:c r="A36" s="15" t="str">
        <x:v>35</x:v>
      </x:c>
      <x:c r="B36" s="15" t="str">
        <x:v>Cachoeira do Pote</x:v>
      </x:c>
      <x:c r="C36" s="15" t="str">
        <x:v>Cachoeira do Pote</x:v>
      </x:c>
      <x:c r="D36" s="15" t="str">
        <x:v>Cachoeira</x:v>
      </x:c>
      <x:c r="E36" s="15" t="str">
        <x:v>Serras Gerais</x:v>
      </x:c>
      <x:c r="F36" s="15" t="str">
        <x:v>A confirmar</x:v>
      </x:c>
      <x:c r="G36" s="15" t="str"/>
      <x:c r="H36" s="15" t="str">
        <x:v>pendente</x:v>
      </x:c>
      <x:c r="I36" s="15" t="str">
        <x:v>sem_foto_licenciada</x:v>
      </x:c>
      <x:c r="J36" s="15" t="str"/>
      <x:c r="K36" s="15" t="str"/>
      <x:c r="L36" s="15" t="str"/>
      <x:c r="M36" s="15" t="str"/>
      <x:c r="N36" s="15" t="str"/>
      <x:c r="O36" s="15" t="str"/>
      <x:c r="P36" s="15" t="str">
        <x:v>https://www.google.com/maps/search/?api=1&amp;query=Cachoeira+do+Pote%2C+Tocantins%2C+Brasil</x:v>
      </x:c>
      <x:c r="Q36" s="15" t="str">
        <x:v>https://www.google.com/search?tbm=isch&amp;q=Cachoeira+do+Pote%2C+Tocantins%2C+Brasil</x:v>
      </x:c>
      <x:c r="R36" s="15" t="str">
        <x:v>novo</x:v>
      </x:c>
      <x:c r="S36" s="15" t="str">
        <x:v>Município ainda não corroborado por fonte independente.</x:v>
      </x:c>
      <x:c r="T36" s="15" t="str">
        <x:v>cachoeira-do-pote</x:v>
      </x:c>
      <x:c r="U36" s="15" t="str">
        <x:v>somente_mapa</x:v>
      </x:c>
    </x:row>
    <x:row r="37" ht="22" customHeight="1">
      <x:c r="A37" s="15" t="str">
        <x:v>36</x:v>
      </x:c>
      <x:c r="B37" s="15" t="str">
        <x:v>Cachoeira da Capivara</x:v>
      </x:c>
      <x:c r="C37" s="15" t="str">
        <x:v>Cachoeira da Capivara</x:v>
      </x:c>
      <x:c r="D37" s="15" t="str">
        <x:v>Cachoeira</x:v>
      </x:c>
      <x:c r="E37" s="15" t="str">
        <x:v>Serras Gerais</x:v>
      </x:c>
      <x:c r="F37" s="15" t="str">
        <x:v>Serras Gerais</x:v>
      </x:c>
      <x:c r="G37" s="15" t="str">
        <x:v>Almas</x:v>
      </x:c>
      <x:c r="H37" s="15" t="str">
        <x:v>corroborado</x:v>
      </x:c>
      <x:c r="I37" s="15" t="str">
        <x:v>galeria_institucional_uso_pendente</x:v>
      </x:c>
      <x:c r="J37" s="15" t="str"/>
      <x:c r="K37" s="15" t="str"/>
      <x:c r="L37" s="15" t="str"/>
      <x:c r="M37" s="15" t="str"/>
      <x:c r="N37" s="15" t="str">
        <x:v>https://www.almas.to.gov.br/galerias/cachoeira-da-capivara</x:v>
      </x:c>
      <x:c r="O37" s="15" t="str">
        <x:v>https://www.almas.to.gov.br/galerias/cachoeira-da-capivara</x:v>
      </x:c>
      <x:c r="P37" s="15" t="str">
        <x:v>https://www.google.com/maps/search/?api=1&amp;query=Cachoeira+da+Capivara%2C+Almas%2C+Tocantins%2C+Brasil</x:v>
      </x:c>
      <x:c r="Q37" s="15" t="str">
        <x:v>https://www.google.com/search?tbm=isch&amp;q=Cachoeira+da+Capivara%2C+Almas%2C+Tocantins%2C+Brasil</x:v>
      </x:c>
      <x:c r="R37" s="15" t="str">
        <x:v>novo</x:v>
      </x:c>
      <x:c r="S37" s="15" t="str">
        <x:v>Galeria pública da prefeitura não implica licença para incorporar imagem no app.</x:v>
      </x:c>
      <x:c r="T37" s="15" t="str">
        <x:v>cachoeira-da-capivara</x:v>
      </x:c>
      <x:c r="U37" s="15" t="str">
        <x:v>documentado_por_fonte</x:v>
      </x:c>
    </x:row>
    <x:row r="38" ht="22" customHeight="1">
      <x:c r="A38" s="15" t="str">
        <x:v>37</x:v>
      </x:c>
      <x:c r="B38" s="15" t="str">
        <x:v>Cachoeira das Três Quedas</x:v>
      </x:c>
      <x:c r="C38" s="15" t="str">
        <x:v>Cachoeira das Três Quedas</x:v>
      </x:c>
      <x:c r="D38" s="15" t="str">
        <x:v>Cachoeira</x:v>
      </x:c>
      <x:c r="E38" s="15" t="str">
        <x:v>Serras Gerais</x:v>
      </x:c>
      <x:c r="F38" s="15" t="str">
        <x:v>A confirmar</x:v>
      </x:c>
      <x:c r="G38" s="15" t="str"/>
      <x:c r="H38" s="15" t="str">
        <x:v>pendente</x:v>
      </x:c>
      <x:c r="I38" s="15" t="str">
        <x:v>sem_foto_licenciada</x:v>
      </x:c>
      <x:c r="J38" s="15" t="str"/>
      <x:c r="K38" s="15" t="str"/>
      <x:c r="L38" s="15" t="str"/>
      <x:c r="M38" s="15" t="str"/>
      <x:c r="N38" s="15" t="str"/>
      <x:c r="O38" s="15" t="str"/>
      <x:c r="P38" s="15" t="str">
        <x:v>https://www.google.com/maps/search/?api=1&amp;query=Cachoeira+das+Tr%C3%AAs+Quedas%2C+Tocantins%2C+Brasil</x:v>
      </x:c>
      <x:c r="Q38" s="15" t="str">
        <x:v>https://www.google.com/search?tbm=isch&amp;q=Cachoeira+das+Tr%C3%AAs+Quedas%2C+Tocantins%2C+Brasil</x:v>
      </x:c>
      <x:c r="R38" s="15" t="str">
        <x:v>novo</x:v>
      </x:c>
      <x:c r="S38" s="15" t="str">
        <x:v>Município ainda não corroborado por fonte independente.</x:v>
      </x:c>
      <x:c r="T38" s="15" t="str">
        <x:v>cachoeira-das-tres-quedas</x:v>
      </x:c>
      <x:c r="U38" s="15" t="str">
        <x:v>somente_mapa</x:v>
      </x:c>
    </x:row>
    <x:row r="39" ht="22" customHeight="1">
      <x:c r="A39" s="15" t="str">
        <x:v>38</x:v>
      </x:c>
      <x:c r="B39" s="15" t="str">
        <x:v>Trilha Aquática das 17 Travessias do Rio Limpo</x:v>
      </x:c>
      <x:c r="C39" s="15" t="str">
        <x:v>Trilha Aquática das 17 Travessias do Rio Limpo</x:v>
      </x:c>
      <x:c r="D39" s="15" t="str">
        <x:v>Trilha</x:v>
      </x:c>
      <x:c r="E39" s="15" t="str">
        <x:v>Serras Gerais</x:v>
      </x:c>
      <x:c r="F39" s="15" t="str">
        <x:v>A confirmar</x:v>
      </x:c>
      <x:c r="G39" s="15" t="str"/>
      <x:c r="H39" s="15" t="str">
        <x:v>pendente</x:v>
      </x:c>
      <x:c r="I39" s="15" t="str">
        <x:v>sem_foto_licenciada</x:v>
      </x:c>
      <x:c r="J39" s="15" t="str"/>
      <x:c r="K39" s="15" t="str"/>
      <x:c r="L39" s="15" t="str"/>
      <x:c r="M39" s="15" t="str"/>
      <x:c r="N39" s="15" t="str"/>
      <x:c r="O39" s="15" t="str"/>
      <x:c r="P39" s="15" t="str">
        <x:v>https://www.google.com/maps/search/?api=1&amp;query=Trilha+Aqu%C3%A1tica+das+17+Travessias+do+Rio+Limpo%2C+Tocantins%2C+Brasil</x:v>
      </x:c>
      <x:c r="Q39" s="15" t="str">
        <x:v>https://www.google.com/search?tbm=isch&amp;q=Trilha+Aqu%C3%A1tica+das+17+Travessias+do+Rio+Limpo%2C+Tocantins%2C+Brasil</x:v>
      </x:c>
      <x:c r="R39" s="15" t="str">
        <x:v>novo</x:v>
      </x:c>
      <x:c r="S39" s="15" t="str">
        <x:v>Município ainda não corroborado por fonte independente.</x:v>
      </x:c>
      <x:c r="T39" s="15" t="str">
        <x:v>trilha-aquatica-das-17-travessias-do-rio-limpo</x:v>
      </x:c>
      <x:c r="U39" s="15" t="str">
        <x:v>somente_mapa</x:v>
      </x:c>
    </x:row>
    <x:row r="40" ht="22" customHeight="1">
      <x:c r="A40" s="15" t="str">
        <x:v>39</x:v>
      </x:c>
      <x:c r="B40" s="15" t="str">
        <x:v>Morro da Bigorna</x:v>
      </x:c>
      <x:c r="C40" s="15" t="str">
        <x:v>Morro da Bigorna</x:v>
      </x:c>
      <x:c r="D40" s="15" t="str">
        <x:v>Formação rochosa / mirante</x:v>
      </x:c>
      <x:c r="E40" s="15" t="str">
        <x:v>Serras Gerais</x:v>
      </x:c>
      <x:c r="F40" s="15" t="str">
        <x:v>A confirmar</x:v>
      </x:c>
      <x:c r="G40" s="15" t="str"/>
      <x:c r="H40" s="15" t="str">
        <x:v>pendente</x:v>
      </x:c>
      <x:c r="I40" s="15" t="str">
        <x:v>sem_foto_licenciada</x:v>
      </x:c>
      <x:c r="J40" s="15" t="str"/>
      <x:c r="K40" s="15" t="str"/>
      <x:c r="L40" s="15" t="str"/>
      <x:c r="M40" s="15" t="str"/>
      <x:c r="N40" s="15" t="str"/>
      <x:c r="O40" s="15" t="str"/>
      <x:c r="P40" s="15" t="str">
        <x:v>https://www.google.com/maps/search/?api=1&amp;query=Morro+da+Bigorna%2C+Tocantins%2C+Brasil</x:v>
      </x:c>
      <x:c r="Q40" s="15" t="str">
        <x:v>https://www.google.com/search?tbm=isch&amp;q=Morro+da+Bigorna%2C+Tocantins%2C+Brasil</x:v>
      </x:c>
      <x:c r="R40" s="15" t="str">
        <x:v>novo</x:v>
      </x:c>
      <x:c r="S40" s="15" t="str">
        <x:v>Município ainda não corroborado por fonte independente.</x:v>
      </x:c>
      <x:c r="T40" s="15" t="str">
        <x:v>morro-da-bigorna</x:v>
      </x:c>
      <x:c r="U40" s="15" t="str">
        <x:v>somente_mapa</x:v>
      </x:c>
    </x:row>
    <x:row r="41" ht="22" customHeight="1">
      <x:c r="A41" s="15" t="str">
        <x:v>40</x:v>
      </x:c>
      <x:c r="B41" s="15" t="str">
        <x:v>Mirante do Cerrado</x:v>
      </x:c>
      <x:c r="C41" s="15" t="str">
        <x:v>Mirante do Cerrado</x:v>
      </x:c>
      <x:c r="D41" s="15" t="str">
        <x:v>Formação rochosa / mirante</x:v>
      </x:c>
      <x:c r="E41" s="15" t="str">
        <x:v>Serras Gerais</x:v>
      </x:c>
      <x:c r="F41" s="15" t="str">
        <x:v>A confirmar</x:v>
      </x:c>
      <x:c r="G41" s="15" t="str"/>
      <x:c r="H41" s="15" t="str">
        <x:v>pendente</x:v>
      </x:c>
      <x:c r="I41" s="15" t="str">
        <x:v>sem_foto_licenciada</x:v>
      </x:c>
      <x:c r="J41" s="15" t="str"/>
      <x:c r="K41" s="15" t="str"/>
      <x:c r="L41" s="15" t="str"/>
      <x:c r="M41" s="15" t="str"/>
      <x:c r="N41" s="15" t="str"/>
      <x:c r="O41" s="15" t="str"/>
      <x:c r="P41" s="15" t="str">
        <x:v>https://www.google.com/maps/search/?api=1&amp;query=Mirante+do+Cerrado%2C+Tocantins%2C+Brasil</x:v>
      </x:c>
      <x:c r="Q41" s="15" t="str">
        <x:v>https://www.google.com/search?tbm=isch&amp;q=Mirante+do+Cerrado%2C+Tocantins%2C+Brasil</x:v>
      </x:c>
      <x:c r="R41" s="15" t="str">
        <x:v>novo</x:v>
      </x:c>
      <x:c r="S41" s="15" t="str">
        <x:v>Município ainda não corroborado por fonte independente.</x:v>
      </x:c>
      <x:c r="T41" s="15" t="str">
        <x:v>mirante-do-cerrado</x:v>
      </x:c>
      <x:c r="U41" s="15" t="str">
        <x:v>somente_mapa</x:v>
      </x:c>
    </x:row>
    <x:row r="42" ht="22" customHeight="1">
      <x:c r="A42" s="15" t="str">
        <x:v>41</x:v>
      </x:c>
      <x:c r="B42" s="15" t="str">
        <x:v>Cachoeira Vai Quem Tem</x:v>
      </x:c>
      <x:c r="C42" s="15" t="str">
        <x:v>Cachoeira Vai Quem Tem</x:v>
      </x:c>
      <x:c r="D42" s="15" t="str">
        <x:v>Cachoeira</x:v>
      </x:c>
      <x:c r="E42" s="15" t="str">
        <x:v>Serras Gerais</x:v>
      </x:c>
      <x:c r="F42" s="15" t="str">
        <x:v>A confirmar</x:v>
      </x:c>
      <x:c r="G42" s="15" t="str"/>
      <x:c r="H42" s="15" t="str">
        <x:v>pendente</x:v>
      </x:c>
      <x:c r="I42" s="15" t="str">
        <x:v>sem_foto_licenciada</x:v>
      </x:c>
      <x:c r="J42" s="15" t="str"/>
      <x:c r="K42" s="15" t="str"/>
      <x:c r="L42" s="15" t="str"/>
      <x:c r="M42" s="15" t="str"/>
      <x:c r="N42" s="15" t="str"/>
      <x:c r="O42" s="15" t="str"/>
      <x:c r="P42" s="15" t="str">
        <x:v>https://www.google.com/maps/search/?api=1&amp;query=Cachoeira+Vai+Quem+Tem%2C+Tocantins%2C+Brasil</x:v>
      </x:c>
      <x:c r="Q42" s="15" t="str">
        <x:v>https://www.google.com/search?tbm=isch&amp;q=Cachoeira+Vai+Quem+Tem%2C+Tocantins%2C+Brasil</x:v>
      </x:c>
      <x:c r="R42" s="15" t="str">
        <x:v>novo</x:v>
      </x:c>
      <x:c r="S42" s="15" t="str">
        <x:v>Município ainda não corroborado por fonte independente.</x:v>
      </x:c>
      <x:c r="T42" s="15" t="str">
        <x:v>cachoeira-vai-quem-tem</x:v>
      </x:c>
      <x:c r="U42" s="15" t="str">
        <x:v>somente_mapa</x:v>
      </x:c>
    </x:row>
    <x:row r="43" ht="22" customHeight="1">
      <x:c r="A43" s="15" t="str">
        <x:v>42</x:v>
      </x:c>
      <x:c r="B43" s="15" t="str">
        <x:v>Farinhada do Preto</x:v>
      </x:c>
      <x:c r="C43" s="15" t="str">
        <x:v>Farinhada do Preto</x:v>
      </x:c>
      <x:c r="D43" s="15" t="str">
        <x:v>Experiência comunitária e gastronômica</x:v>
      </x:c>
      <x:c r="E43" s="15" t="str">
        <x:v>Serras Gerais</x:v>
      </x:c>
      <x:c r="F43" s="15" t="str">
        <x:v>A confirmar</x:v>
      </x:c>
      <x:c r="G43" s="15" t="str"/>
      <x:c r="H43" s="15" t="str">
        <x:v>pendente</x:v>
      </x:c>
      <x:c r="I43" s="15" t="str">
        <x:v>sem_foto_licenciada</x:v>
      </x:c>
      <x:c r="J43" s="15" t="str"/>
      <x:c r="K43" s="15" t="str"/>
      <x:c r="L43" s="15" t="str"/>
      <x:c r="M43" s="15" t="str"/>
      <x:c r="N43" s="15" t="str"/>
      <x:c r="O43" s="15" t="str"/>
      <x:c r="P43" s="15" t="str">
        <x:v>https://www.google.com/maps/search/?api=1&amp;query=Farinhada+do+Preto%2C+Tocantins%2C+Brasil</x:v>
      </x:c>
      <x:c r="Q43" s="15" t="str">
        <x:v>https://www.google.com/search?tbm=isch&amp;q=Farinhada+do+Preto%2C+Tocantins%2C+Brasil</x:v>
      </x:c>
      <x:c r="R43" s="15" t="str">
        <x:v>novo</x:v>
      </x:c>
      <x:c r="S43" s="15" t="str">
        <x:v>Município ainda não corroborado por fonte independente.</x:v>
      </x:c>
      <x:c r="T43" s="15" t="str">
        <x:v>farinhada-do-preto</x:v>
      </x:c>
      <x:c r="U43" s="15" t="str">
        <x:v>somente_mapa</x:v>
      </x:c>
    </x:row>
    <x:row r="44" ht="22" customHeight="1">
      <x:c r="A44" s="15" t="str">
        <x:v>43</x:v>
      </x:c>
      <x:c r="B44" s="15" t="str">
        <x:v>Lagoa da Serra</x:v>
      </x:c>
      <x:c r="C44" s="15" t="str">
        <x:v>Lagoa da Serra</x:v>
      </x:c>
      <x:c r="D44" s="15" t="str">
        <x:v>Lagoa</x:v>
      </x:c>
      <x:c r="E44" s="15" t="str">
        <x:v>Serras Gerais</x:v>
      </x:c>
      <x:c r="F44" s="15" t="str">
        <x:v>Serras Gerais</x:v>
      </x:c>
      <x:c r="G44" s="15" t="str">
        <x:v>Rio da Conceição</x:v>
      </x:c>
      <x:c r="H44" s="15" t="str">
        <x:v>corroborado</x:v>
      </x:c>
      <x:c r="I44" s="15" t="str">
        <x:v>foto_licenciada</x:v>
      </x:c>
      <x:c r="J44" s="15" t="str">
        <x:v>https://commons.wikimedia.org/wiki/Special:FilePath/Lagoa_da_Serra%2C_em_Rio_da_Concei%C3%A7%C3%A3o%2C_Tocantins.jpg?width=960</x:v>
      </x:c>
      <x:c r="K44" s="15" t="str">
        <x:v>https://commons.wikimedia.org/wiki/File:Lagoa_da_Serra,_em_Rio_da_Concei%C3%A7%C3%A3o,_Tocantins.jpg</x:v>
      </x:c>
      <x:c r="L44" s="15" t="str">
        <x:v>R. Uchôa</x:v>
      </x:c>
      <x:c r="M44" s="15" t="str">
        <x:v>CC BY-SA 4.0</x:v>
      </x:c>
      <x:c r="N44" s="15" t="str">
        <x:v>https://observatorio.turismo.to.gov.br/observatorio/pesquisas/plano-desenvolvimento-regional/serras-gerais/</x:v>
      </x:c>
      <x:c r="O44" s="15" t="str"/>
      <x:c r="P44" s="15" t="str">
        <x:v>https://www.google.com/maps/search/?api=1&amp;query=Lagoa+da+Serra%2C+Rio+da+Concei%C3%A7%C3%A3o%2C+Tocantins%2C+Brasil</x:v>
      </x:c>
      <x:c r="Q44" s="15" t="str">
        <x:v>https://www.google.com/search?tbm=isch&amp;q=Lagoa+da+Serra%2C+Rio+da+Concei%C3%A7%C3%A3o%2C+Tocantins%2C+Brasil</x:v>
      </x:c>
      <x:c r="R44" s="15" t="str">
        <x:v>novo</x:v>
      </x:c>
      <x:c r="S44" s="15" t="str"/>
      <x:c r="T44" s="15" t="str">
        <x:v>lagoa-da-serra</x:v>
      </x:c>
      <x:c r="U44" s="15" t="str">
        <x:v>documentado_por_fonte</x:v>
      </x:c>
    </x:row>
    <x:row r="45" ht="22" customHeight="1">
      <x:c r="A45" s="15" t="str">
        <x:v>44</x:v>
      </x:c>
      <x:c r="B45" s="15" t="str">
        <x:v>Paredão do Rio de Areia</x:v>
      </x:c>
      <x:c r="C45" s="15" t="str">
        <x:v>Paredão do Rio de Areia</x:v>
      </x:c>
      <x:c r="D45" s="15" t="str">
        <x:v>Formação rochosa / mirante</x:v>
      </x:c>
      <x:c r="E45" s="15" t="str">
        <x:v>Serras Gerais</x:v>
      </x:c>
      <x:c r="F45" s="15" t="str">
        <x:v>A confirmar</x:v>
      </x:c>
      <x:c r="G45" s="15" t="str"/>
      <x:c r="H45" s="15" t="str">
        <x:v>pendente</x:v>
      </x:c>
      <x:c r="I45" s="15" t="str">
        <x:v>sem_foto_licenciada</x:v>
      </x:c>
      <x:c r="J45" s="15" t="str"/>
      <x:c r="K45" s="15" t="str"/>
      <x:c r="L45" s="15" t="str"/>
      <x:c r="M45" s="15" t="str"/>
      <x:c r="N45" s="15" t="str"/>
      <x:c r="O45" s="15" t="str"/>
      <x:c r="P45" s="15" t="str">
        <x:v>https://www.google.com/maps/search/?api=1&amp;query=Pared%C3%A3o+do+Rio+de+Areia%2C+Tocantins%2C+Brasil</x:v>
      </x:c>
      <x:c r="Q45" s="15" t="str">
        <x:v>https://www.google.com/search?tbm=isch&amp;q=Pared%C3%A3o+do+Rio+de+Areia%2C+Tocantins%2C+Brasil</x:v>
      </x:c>
      <x:c r="R45" s="15" t="str">
        <x:v>novo</x:v>
      </x:c>
      <x:c r="S45" s="15" t="str">
        <x:v>Município ainda não corroborado por fonte independente.</x:v>
      </x:c>
      <x:c r="T45" s="15" t="str">
        <x:v>paredao-do-rio-de-areia</x:v>
      </x:c>
      <x:c r="U45" s="15" t="str">
        <x:v>somente_mapa</x:v>
      </x:c>
    </x:row>
    <x:row r="46" ht="22" customHeight="1">
      <x:c r="A46" s="15" t="str">
        <x:v>45</x:v>
      </x:c>
      <x:c r="B46" s="15" t="str">
        <x:v>Fortaleza dos Guardiões</x:v>
      </x:c>
      <x:c r="C46" s="15" t="str">
        <x:v>Fortaleza dos Guardiões</x:v>
      </x:c>
      <x:c r="D46" s="15" t="str">
        <x:v>Formação rochosa / mirante</x:v>
      </x:c>
      <x:c r="E46" s="15" t="str">
        <x:v>Serras Gerais</x:v>
      </x:c>
      <x:c r="F46" s="15" t="str">
        <x:v>Serras Gerais</x:v>
      </x:c>
      <x:c r="G46" s="15" t="str">
        <x:v>Dianópolis</x:v>
      </x:c>
      <x:c r="H46" s="15" t="str">
        <x:v>corroborado</x:v>
      </x:c>
      <x:c r="I46" s="15" t="str">
        <x:v>sem_foto_licenciada</x:v>
      </x:c>
      <x:c r="J46" s="15" t="str"/>
      <x:c r="K46" s="15" t="str"/>
      <x:c r="L46" s="15" t="str"/>
      <x:c r="M46" s="15" t="str"/>
      <x:c r="N46" s="15" t="str">
        <x:v>https://www.dianopolis.to.gov.br/guiacidade/pontos-turisticos/1</x:v>
      </x:c>
      <x:c r="O46" s="15" t="str"/>
      <x:c r="P46" s="15" t="str">
        <x:v>https://www.google.com/maps/search/?api=1&amp;query=Fortaleza+dos+Guardi%C3%B5es%2C+Dian%C3%B3polis%2C+Tocantins%2C+Brasil</x:v>
      </x:c>
      <x:c r="Q46" s="15" t="str">
        <x:v>https://www.google.com/search?tbm=isch&amp;q=Fortaleza+dos+Guardi%C3%B5es%2C+Dian%C3%B3polis%2C+Tocantins%2C+Brasil</x:v>
      </x:c>
      <x:c r="R46" s="15" t="str">
        <x:v>novo</x:v>
      </x:c>
      <x:c r="S46" s="15" t="str"/>
      <x:c r="T46" s="15" t="str">
        <x:v>fortaleza-dos-guardioes</x:v>
      </x:c>
      <x:c r="U46" s="15" t="str">
        <x:v>documentado_por_fonte</x:v>
      </x:c>
    </x:row>
    <x:row r="47" ht="22" customHeight="1">
      <x:c r="A47" s="15" t="str">
        <x:v>46</x:v>
      </x:c>
      <x:c r="B47" s="15" t="str">
        <x:v>Cachoeira do Cavalo Queimado</x:v>
      </x:c>
      <x:c r="C47" s="15" t="str">
        <x:v>Cachoeira do Cavalo Queimado</x:v>
      </x:c>
      <x:c r="D47" s="15" t="str">
        <x:v>Cachoeira</x:v>
      </x:c>
      <x:c r="E47" s="15" t="str">
        <x:v>Serras Gerais</x:v>
      </x:c>
      <x:c r="F47" s="15" t="str">
        <x:v>A confirmar</x:v>
      </x:c>
      <x:c r="G47" s="15" t="str"/>
      <x:c r="H47" s="15" t="str">
        <x:v>pendente</x:v>
      </x:c>
      <x:c r="I47" s="15" t="str">
        <x:v>sem_foto_licenciada</x:v>
      </x:c>
      <x:c r="J47" s="15" t="str"/>
      <x:c r="K47" s="15" t="str"/>
      <x:c r="L47" s="15" t="str"/>
      <x:c r="M47" s="15" t="str"/>
      <x:c r="N47" s="15" t="str"/>
      <x:c r="O47" s="15" t="str"/>
      <x:c r="P47" s="15" t="str">
        <x:v>https://www.google.com/maps/search/?api=1&amp;query=Cachoeira+do+Cavalo+Queimado%2C+Tocantins%2C+Brasil</x:v>
      </x:c>
      <x:c r="Q47" s="15" t="str">
        <x:v>https://www.google.com/search?tbm=isch&amp;q=Cachoeira+do+Cavalo+Queimado%2C+Tocantins%2C+Brasil</x:v>
      </x:c>
      <x:c r="R47" s="15" t="str">
        <x:v>novo</x:v>
      </x:c>
      <x:c r="S47" s="15" t="str">
        <x:v>Município ainda não corroborado por fonte independente.</x:v>
      </x:c>
      <x:c r="T47" s="15" t="str">
        <x:v>cachoeira-do-cavalo-queimado</x:v>
      </x:c>
      <x:c r="U47" s="15" t="str">
        <x:v>somente_mapa</x:v>
      </x:c>
    </x:row>
    <x:row r="48" ht="22" customHeight="1">
      <x:c r="A48" s="15" t="str">
        <x:v>47</x:v>
      </x:c>
      <x:c r="B48" s="15" t="str">
        <x:v>Cachoeira das Orquídeas</x:v>
      </x:c>
      <x:c r="C48" s="15" t="str">
        <x:v>Cachoeira das Orquídeas</x:v>
      </x:c>
      <x:c r="D48" s="15" t="str">
        <x:v>Cachoeira</x:v>
      </x:c>
      <x:c r="E48" s="15" t="str">
        <x:v>Serras Gerais</x:v>
      </x:c>
      <x:c r="F48" s="15" t="str">
        <x:v>A confirmar</x:v>
      </x:c>
      <x:c r="G48" s="15" t="str"/>
      <x:c r="H48" s="15" t="str">
        <x:v>pendente</x:v>
      </x:c>
      <x:c r="I48" s="15" t="str">
        <x:v>sem_foto_licenciada</x:v>
      </x:c>
      <x:c r="J48" s="15" t="str"/>
      <x:c r="K48" s="15" t="str"/>
      <x:c r="L48" s="15" t="str"/>
      <x:c r="M48" s="15" t="str"/>
      <x:c r="N48" s="15" t="str"/>
      <x:c r="O48" s="15" t="str"/>
      <x:c r="P48" s="15" t="str">
        <x:v>https://www.google.com/maps/search/?api=1&amp;query=Cachoeira+das+Orqu%C3%ADdeas%2C+Tocantins%2C+Brasil</x:v>
      </x:c>
      <x:c r="Q48" s="15" t="str">
        <x:v>https://www.google.com/search?tbm=isch&amp;q=Cachoeira+das+Orqu%C3%ADdeas%2C+Tocantins%2C+Brasil</x:v>
      </x:c>
      <x:c r="R48" s="15" t="str">
        <x:v>novo</x:v>
      </x:c>
      <x:c r="S48" s="15" t="str">
        <x:v>Município ainda não corroborado por fonte independente.</x:v>
      </x:c>
      <x:c r="T48" s="15" t="str">
        <x:v>cachoeira-das-orquideas</x:v>
      </x:c>
      <x:c r="U48" s="15" t="str">
        <x:v>somente_mapa</x:v>
      </x:c>
    </x:row>
    <x:row r="49" ht="22" customHeight="1">
      <x:c r="A49" s="15" t="str">
        <x:v>48</x:v>
      </x:c>
      <x:c r="B49" s="15" t="str">
        <x:v>Vale Encantado</x:v>
      </x:c>
      <x:c r="C49" s="15" t="str">
        <x:v>Vale Encantado</x:v>
      </x:c>
      <x:c r="D49" s="15" t="str">
        <x:v>Outros / confirmar categoria</x:v>
      </x:c>
      <x:c r="E49" s="15" t="str">
        <x:v>Serras Gerais</x:v>
      </x:c>
      <x:c r="F49" s="15" t="str">
        <x:v>Serras Gerais</x:v>
      </x:c>
      <x:c r="G49" s="15" t="str">
        <x:v>Dianópolis</x:v>
      </x:c>
      <x:c r="H49" s="15" t="str">
        <x:v>corroborado</x:v>
      </x:c>
      <x:c r="I49" s="15" t="str">
        <x:v>sem_foto_licenciada</x:v>
      </x:c>
      <x:c r="J49" s="15" t="str"/>
      <x:c r="K49" s="15" t="str"/>
      <x:c r="L49" s="15" t="str"/>
      <x:c r="M49" s="15" t="str"/>
      <x:c r="N49" s="15" t="str">
        <x:v>https://www.dianopolis.to.gov.br/guiacidade/pontos-turisticos/1</x:v>
      </x:c>
      <x:c r="O49" s="15" t="str"/>
      <x:c r="P49" s="15" t="str">
        <x:v>https://www.google.com/maps/search/?api=1&amp;query=Vale+Encantado%2C+Dian%C3%B3polis%2C+Tocantins%2C+Brasil</x:v>
      </x:c>
      <x:c r="Q49" s="15" t="str">
        <x:v>https://www.google.com/search?tbm=isch&amp;q=Vale+Encantado%2C+Dian%C3%B3polis%2C+Tocantins%2C+Brasil</x:v>
      </x:c>
      <x:c r="R49" s="15" t="str">
        <x:v>novo</x:v>
      </x:c>
      <x:c r="S49" s="15" t="str"/>
      <x:c r="T49" s="15" t="str">
        <x:v>vale-encantado</x:v>
      </x:c>
      <x:c r="U49" s="15" t="str">
        <x:v>documentado_por_fonte</x:v>
      </x:c>
    </x:row>
    <x:row r="50" ht="22" customHeight="1">
      <x:c r="A50" s="15" t="str">
        <x:v>49</x:v>
      </x:c>
      <x:c r="B50" s="15" t="str">
        <x:v>Gruta do Sabão</x:v>
      </x:c>
      <x:c r="C50" s="15" t="str">
        <x:v>Gruta do Sabão</x:v>
      </x:c>
      <x:c r="D50" s="15" t="str">
        <x:v>Gruta</x:v>
      </x:c>
      <x:c r="E50" s="15" t="str">
        <x:v>Serras Gerais</x:v>
      </x:c>
      <x:c r="F50" s="15" t="str">
        <x:v>A confirmar</x:v>
      </x:c>
      <x:c r="G50" s="15" t="str"/>
      <x:c r="H50" s="15" t="str">
        <x:v>pendente</x:v>
      </x:c>
      <x:c r="I50" s="15" t="str">
        <x:v>sem_foto_licenciada</x:v>
      </x:c>
      <x:c r="J50" s="15" t="str"/>
      <x:c r="K50" s="15" t="str"/>
      <x:c r="L50" s="15" t="str"/>
      <x:c r="M50" s="15" t="str"/>
      <x:c r="N50" s="15" t="str"/>
      <x:c r="O50" s="15" t="str"/>
      <x:c r="P50" s="15" t="str">
        <x:v>https://www.google.com/maps/search/?api=1&amp;query=Gruta+do+Sab%C3%A3o%2C+Tocantins%2C+Brasil</x:v>
      </x:c>
      <x:c r="Q50" s="15" t="str">
        <x:v>https://www.google.com/search?tbm=isch&amp;q=Gruta+do+Sab%C3%A3o%2C+Tocantins%2C+Brasil</x:v>
      </x:c>
      <x:c r="R50" s="15" t="str">
        <x:v>novo</x:v>
      </x:c>
      <x:c r="S50" s="15" t="str">
        <x:v>Município ainda não corroborado por fonte independente.</x:v>
      </x:c>
      <x:c r="T50" s="15" t="str">
        <x:v>gruta-do-sabao</x:v>
      </x:c>
      <x:c r="U50" s="15" t="str">
        <x:v>somente_mapa</x:v>
      </x:c>
    </x:row>
    <x:row r="51" ht="22" customHeight="1">
      <x:c r="A51" s="15" t="str">
        <x:v>50</x:v>
      </x:c>
      <x:c r="B51" s="15" t="str">
        <x:v>Azuis</x:v>
      </x:c>
      <x:c r="C51" s="15" t="str">
        <x:v>Rio Azuis</x:v>
      </x:c>
      <x:c r="D51" s="15" t="str">
        <x:v>Rio e balneário</x:v>
      </x:c>
      <x:c r="E51" s="15" t="str">
        <x:v>Serras Gerais</x:v>
      </x:c>
      <x:c r="F51" s="15" t="str">
        <x:v>Serras Gerais</x:v>
      </x:c>
      <x:c r="G51" s="15" t="str">
        <x:v>Aurora do Tocantins</x:v>
      </x:c>
      <x:c r="H51" s="15" t="str">
        <x:v>corroborado</x:v>
      </x:c>
      <x:c r="I51" s="15" t="str">
        <x:v>sem_foto_licenciada</x:v>
      </x:c>
      <x:c r="J51" s="15" t="str"/>
      <x:c r="K51" s="15" t="str"/>
      <x:c r="L51" s="15" t="str"/>
      <x:c r="M51" s="15" t="str"/>
      <x:c r="N51" s="15" t="str">
        <x:v>https://tocantinsturismo.com/</x:v>
      </x:c>
      <x:c r="O51" s="15" t="str"/>
      <x:c r="P51" s="15" t="str">
        <x:v>https://www.google.com/maps/search/?api=1&amp;query=Azuis%2C+Aurora+do+Tocantins%2C+Tocantins%2C+Brasil</x:v>
      </x:c>
      <x:c r="Q51" s="15" t="str">
        <x:v>https://www.google.com/search?tbm=isch&amp;q=Azuis%2C+Aurora+do+Tocantins%2C+Tocantins%2C+Brasil</x:v>
      </x:c>
      <x:c r="R51" s="15" t="str">
        <x:v>novo</x:v>
      </x:c>
      <x:c r="S51" s="15" t="str"/>
      <x:c r="T51" s="15" t="str">
        <x:v>azuis</x:v>
      </x:c>
      <x:c r="U51" s="15" t="str">
        <x:v>documentado_por_fonte</x:v>
      </x:c>
    </x:row>
    <x:row r="52" ht="22" customHeight="1">
      <x:c r="A52" s="15" t="str">
        <x:v>51</x:v>
      </x:c>
      <x:c r="B52" s="15" t="str">
        <x:v>Escorrega do Betim</x:v>
      </x:c>
      <x:c r="C52" s="15" t="str">
        <x:v>Escorrega do Betim</x:v>
      </x:c>
      <x:c r="D52" s="15" t="str">
        <x:v>Balneário</x:v>
      </x:c>
      <x:c r="E52" s="15" t="str">
        <x:v>Serras Gerais</x:v>
      </x:c>
      <x:c r="F52" s="15" t="str">
        <x:v>A confirmar</x:v>
      </x:c>
      <x:c r="G52" s="15" t="str"/>
      <x:c r="H52" s="15" t="str">
        <x:v>pendente</x:v>
      </x:c>
      <x:c r="I52" s="15" t="str">
        <x:v>sem_foto_licenciada</x:v>
      </x:c>
      <x:c r="J52" s="15" t="str"/>
      <x:c r="K52" s="15" t="str"/>
      <x:c r="L52" s="15" t="str"/>
      <x:c r="M52" s="15" t="str"/>
      <x:c r="N52" s="15" t="str"/>
      <x:c r="O52" s="15" t="str"/>
      <x:c r="P52" s="15" t="str">
        <x:v>https://www.google.com/maps/search/?api=1&amp;query=Escorrega+do+Betim%2C+Tocantins%2C+Brasil</x:v>
      </x:c>
      <x:c r="Q52" s="15" t="str">
        <x:v>https://www.google.com/search?tbm=isch&amp;q=Escorrega+do+Betim%2C+Tocantins%2C+Brasil</x:v>
      </x:c>
      <x:c r="R52" s="15" t="str">
        <x:v>novo</x:v>
      </x:c>
      <x:c r="S52" s="15" t="str">
        <x:v>Município ainda não corroborado por fonte independente.</x:v>
      </x:c>
      <x:c r="T52" s="15" t="str">
        <x:v>escorrega-do-betim</x:v>
      </x:c>
      <x:c r="U52" s="15" t="str">
        <x:v>somente_mapa</x:v>
      </x:c>
    </x:row>
    <x:row r="53" ht="22" customHeight="1">
      <x:c r="A53" s="15" t="str">
        <x:v>52</x:v>
      </x:c>
      <x:c r="B53" s="15" t="str">
        <x:v>Praia do Pequizeiro</x:v>
      </x:c>
      <x:c r="C53" s="15" t="str">
        <x:v>Praia do Pequizeiro</x:v>
      </x:c>
      <x:c r="D53" s="15" t="str">
        <x:v>Praia fluvial</x:v>
      </x:c>
      <x:c r="E53" s="15" t="str">
        <x:v>Serras Gerais</x:v>
      </x:c>
      <x:c r="F53" s="15" t="str">
        <x:v>Serras Gerais</x:v>
      </x:c>
      <x:c r="G53" s="15" t="str">
        <x:v>Lavandeira</x:v>
      </x:c>
      <x:c r="H53" s="15" t="str">
        <x:v>corroborado</x:v>
      </x:c>
      <x:c r="I53" s="15" t="str">
        <x:v>sem_foto_licenciada</x:v>
      </x:c>
      <x:c r="J53" s="15" t="str"/>
      <x:c r="K53" s="15" t="str"/>
      <x:c r="L53" s="15" t="str"/>
      <x:c r="M53" s="15" t="str"/>
      <x:c r="N53" s="15" t="str">
        <x:v>https://caminhantesdocerrado.com/product/serras-gerais-7-dias6-noites/nHk8DWLY</x:v>
      </x:c>
      <x:c r="O53" s="15" t="str"/>
      <x:c r="P53" s="15" t="str">
        <x:v>https://www.google.com/maps/search/?api=1&amp;query=Praia+do+Pequizeiro%2C+Lavandeira%2C+Tocantins%2C+Brasil</x:v>
      </x:c>
      <x:c r="Q53" s="15" t="str">
        <x:v>https://www.google.com/search?tbm=isch&amp;q=Praia+do+Pequizeiro%2C+Lavandeira%2C+Tocantins%2C+Brasil</x:v>
      </x:c>
      <x:c r="R53" s="15" t="str">
        <x:v>novo</x:v>
      </x:c>
      <x:c r="S53" s="15" t="str"/>
      <x:c r="T53" s="15" t="str">
        <x:v>praia-do-pequizeiro</x:v>
      </x:c>
      <x:c r="U53" s="15" t="str">
        <x:v>documentado_por_fonte</x:v>
      </x:c>
    </x:row>
    <x:row r="54" ht="22" customHeight="1">
      <x:c r="A54" s="15" t="str">
        <x:v>53</x:v>
      </x:c>
      <x:c r="B54" s="15" t="str">
        <x:v>Cachoeira do Sombra</x:v>
      </x:c>
      <x:c r="C54" s="15" t="str">
        <x:v>Cachoeira do Sombra</x:v>
      </x:c>
      <x:c r="D54" s="15" t="str">
        <x:v>Cachoeira</x:v>
      </x:c>
      <x:c r="E54" s="15" t="str">
        <x:v>Serras Gerais</x:v>
      </x:c>
      <x:c r="F54" s="15" t="str">
        <x:v>A confirmar</x:v>
      </x:c>
      <x:c r="G54" s="15" t="str"/>
      <x:c r="H54" s="15" t="str">
        <x:v>pendente</x:v>
      </x:c>
      <x:c r="I54" s="15" t="str">
        <x:v>sem_foto_licenciada</x:v>
      </x:c>
      <x:c r="J54" s="15" t="str"/>
      <x:c r="K54" s="15" t="str"/>
      <x:c r="L54" s="15" t="str"/>
      <x:c r="M54" s="15" t="str"/>
      <x:c r="N54" s="15" t="str"/>
      <x:c r="O54" s="15" t="str"/>
      <x:c r="P54" s="15" t="str">
        <x:v>https://www.google.com/maps/search/?api=1&amp;query=Cachoeira+do+Sombra%2C+Tocantins%2C+Brasil</x:v>
      </x:c>
      <x:c r="Q54" s="15" t="str">
        <x:v>https://www.google.com/search?tbm=isch&amp;q=Cachoeira+do+Sombra%2C+Tocantins%2C+Brasil</x:v>
      </x:c>
      <x:c r="R54" s="15" t="str">
        <x:v>novo</x:v>
      </x:c>
      <x:c r="S54" s="15" t="str">
        <x:v>Município ainda não corroborado por fonte independente.</x:v>
      </x:c>
      <x:c r="T54" s="15" t="str">
        <x:v>cachoeira-do-sombra</x:v>
      </x:c>
      <x:c r="U54" s="15" t="str">
        <x:v>somente_mapa</x:v>
      </x:c>
    </x:row>
    <x:row r="55" ht="22" customHeight="1">
      <x:c r="A55" s="15" t="str">
        <x:v>54</x:v>
      </x:c>
      <x:c r="B55" s="15" t="str">
        <x:v>Poço Paraíso</x:v>
      </x:c>
      <x:c r="C55" s="15" t="str">
        <x:v>Poço Paraíso</x:v>
      </x:c>
      <x:c r="D55" s="15" t="str">
        <x:v>Outros / confirmar categoria</x:v>
      </x:c>
      <x:c r="E55" s="15" t="str">
        <x:v>Serras Gerais</x:v>
      </x:c>
      <x:c r="F55" s="15" t="str">
        <x:v>A confirmar</x:v>
      </x:c>
      <x:c r="G55" s="15" t="str"/>
      <x:c r="H55" s="15" t="str">
        <x:v>pendente</x:v>
      </x:c>
      <x:c r="I55" s="15" t="str">
        <x:v>sem_foto_licenciada</x:v>
      </x:c>
      <x:c r="J55" s="15" t="str"/>
      <x:c r="K55" s="15" t="str"/>
      <x:c r="L55" s="15" t="str"/>
      <x:c r="M55" s="15" t="str"/>
      <x:c r="N55" s="15" t="str"/>
      <x:c r="O55" s="15" t="str"/>
      <x:c r="P55" s="15" t="str">
        <x:v>https://www.google.com/maps/search/?api=1&amp;query=Po%C3%A7o+Para%C3%ADso%2C+Tocantins%2C+Brasil</x:v>
      </x:c>
      <x:c r="Q55" s="15" t="str">
        <x:v>https://www.google.com/search?tbm=isch&amp;q=Po%C3%A7o+Para%C3%ADso%2C+Tocantins%2C+Brasil</x:v>
      </x:c>
      <x:c r="R55" s="15" t="str">
        <x:v>novo</x:v>
      </x:c>
      <x:c r="S55" s="15" t="str">
        <x:v>Município ainda não corroborado por fonte independente.</x:v>
      </x:c>
      <x:c r="T55" s="15" t="str">
        <x:v>poco-paraiso</x:v>
      </x:c>
      <x:c r="U55" s="15" t="str">
        <x:v>somente_mapa</x:v>
      </x:c>
    </x:row>
    <x:row r="56" ht="22" customHeight="1">
      <x:c r="A56" s="15" t="str">
        <x:v>55</x:v>
      </x:c>
      <x:c r="B56" s="15" t="str">
        <x:v>Praia do Puçá</x:v>
      </x:c>
      <x:c r="C56" s="15" t="str">
        <x:v>Praia do Puçá</x:v>
      </x:c>
      <x:c r="D56" s="15" t="str">
        <x:v>Praia fluvial</x:v>
      </x:c>
      <x:c r="E56" s="15" t="str">
        <x:v>Serras Gerais</x:v>
      </x:c>
      <x:c r="F56" s="15" t="str">
        <x:v>Serras Gerais</x:v>
      </x:c>
      <x:c r="G56" s="15" t="str">
        <x:v>Lavandeira</x:v>
      </x:c>
      <x:c r="H56" s="15" t="str">
        <x:v>corroborado</x:v>
      </x:c>
      <x:c r="I56" s="15" t="str">
        <x:v>sem_foto_licenciada</x:v>
      </x:c>
      <x:c r="J56" s="15" t="str"/>
      <x:c r="K56" s="15" t="str"/>
      <x:c r="L56" s="15" t="str"/>
      <x:c r="M56" s="15" t="str"/>
      <x:c r="N56" s="15" t="str">
        <x:v>https://caminhantesdocerrado.com/product/serras-gerais-7-dias6-noites/nHk8DWLY</x:v>
      </x:c>
      <x:c r="O56" s="15" t="str"/>
      <x:c r="P56" s="15" t="str">
        <x:v>https://www.google.com/maps/search/?api=1&amp;query=Praia+do+Pu%C3%A7%C3%A1%2C+Lavandeira%2C+Tocantins%2C+Brasil</x:v>
      </x:c>
      <x:c r="Q56" s="15" t="str">
        <x:v>https://www.google.com/search?tbm=isch&amp;q=Praia+do+Pu%C3%A7%C3%A1%2C+Lavandeira%2C+Tocantins%2C+Brasil</x:v>
      </x:c>
      <x:c r="R56" s="15" t="str">
        <x:v>novo</x:v>
      </x:c>
      <x:c r="S56" s="15" t="str"/>
      <x:c r="T56" s="15" t="str">
        <x:v>praia-do-puca</x:v>
      </x:c>
      <x:c r="U56" s="15" t="str">
        <x:v>documentado_por_fonte</x:v>
      </x:c>
    </x:row>
    <x:row r="57" ht="22" customHeight="1">
      <x:c r="A57" s="15" t="str">
        <x:v>56</x:v>
      </x:c>
      <x:c r="B57" s="15" t="str">
        <x:v>Terra Ronca</x:v>
      </x:c>
      <x:c r="C57" s="15" t="str">
        <x:v>Terra Ronca</x:v>
      </x:c>
      <x:c r="D57" s="15" t="str">
        <x:v>Outros / confirmar categoria</x:v>
      </x:c>
      <x:c r="E57" s="15" t="str">
        <x:v>Serras Gerais</x:v>
      </x:c>
      <x:c r="F57" s="15" t="str">
        <x:v>A confirmar</x:v>
      </x:c>
      <x:c r="G57" s="15" t="str"/>
      <x:c r="H57" s="15" t="str">
        <x:v>pendente</x:v>
      </x:c>
      <x:c r="I57" s="15" t="str">
        <x:v>sem_foto_licenciada</x:v>
      </x:c>
      <x:c r="J57" s="15" t="str"/>
      <x:c r="K57" s="15" t="str"/>
      <x:c r="L57" s="15" t="str"/>
      <x:c r="M57" s="15" t="str"/>
      <x:c r="N57" s="15" t="str"/>
      <x:c r="O57" s="15" t="str"/>
      <x:c r="P57" s="15" t="str">
        <x:v>https://www.google.com/maps/search/?api=1&amp;query=Terra+Ronca%2C+Tocantins%2C+Brasil</x:v>
      </x:c>
      <x:c r="Q57" s="15" t="str">
        <x:v>https://www.google.com/search?tbm=isch&amp;q=Terra+Ronca%2C+Tocantins%2C+Brasil</x:v>
      </x:c>
      <x:c r="R57" s="15" t="str">
        <x:v>novo</x:v>
      </x:c>
      <x:c r="S57" s="15" t="str">
        <x:v>Nome homônimo conhecido em Goiás; validar município e natureza do atrativo antes de atribuir imagem ou coordenadas. Município ainda não corroborado por fonte independente.</x:v>
      </x:c>
      <x:c r="T57" s="15" t="str">
        <x:v>terra-ronca</x:v>
      </x:c>
      <x:c r="U57" s="15" t="str">
        <x:v>somente_mapa</x:v>
      </x:c>
    </x:row>
    <x:row r="58" ht="22" customHeight="1">
      <x:c r="A58" s="15" t="str">
        <x:v>57</x:v>
      </x:c>
      <x:c r="B58" s="15" t="str">
        <x:v>Cachoeira do Bartolomeu</x:v>
      </x:c>
      <x:c r="C58" s="15" t="str">
        <x:v>Cachoeira do Bartolomeu</x:v>
      </x:c>
      <x:c r="D58" s="15" t="str">
        <x:v>Cachoeira</x:v>
      </x:c>
      <x:c r="E58" s="15" t="str">
        <x:v>Serras Gerais</x:v>
      </x:c>
      <x:c r="F58" s="15" t="str">
        <x:v>A confirmar</x:v>
      </x:c>
      <x:c r="G58" s="15" t="str"/>
      <x:c r="H58" s="15" t="str">
        <x:v>pendente</x:v>
      </x:c>
      <x:c r="I58" s="15" t="str">
        <x:v>sem_foto_licenciada</x:v>
      </x:c>
      <x:c r="J58" s="15" t="str"/>
      <x:c r="K58" s="15" t="str"/>
      <x:c r="L58" s="15" t="str"/>
      <x:c r="M58" s="15" t="str"/>
      <x:c r="N58" s="15" t="str"/>
      <x:c r="O58" s="15" t="str"/>
      <x:c r="P58" s="15" t="str">
        <x:v>https://www.google.com/maps/search/?api=1&amp;query=Cachoeira+do+Bartolomeu%2C+Tocantins%2C+Brasil</x:v>
      </x:c>
      <x:c r="Q58" s="15" t="str">
        <x:v>https://www.google.com/search?tbm=isch&amp;q=Cachoeira+do+Bartolomeu%2C+Tocantins%2C+Brasil</x:v>
      </x:c>
      <x:c r="R58" s="15" t="str">
        <x:v>novo</x:v>
      </x:c>
      <x:c r="S58" s="15" t="str">
        <x:v>Município ainda não corroborado por fonte independente.</x:v>
      </x:c>
      <x:c r="T58" s="15" t="str">
        <x:v>cachoeira-do-bartolomeu</x:v>
      </x:c>
      <x:c r="U58" s="15" t="str">
        <x:v>somente_mapa</x:v>
      </x:c>
    </x:row>
    <x:row r="59" ht="22" customHeight="1">
      <x:c r="A59" s="15" t="str">
        <x:v>58</x:v>
      </x:c>
      <x:c r="B59" s="15" t="str">
        <x:v>Cachoeira das Andorinhas</x:v>
      </x:c>
      <x:c r="C59" s="15" t="str">
        <x:v>Cachoeira das Andorinhas</x:v>
      </x:c>
      <x:c r="D59" s="15" t="str">
        <x:v>Cachoeira</x:v>
      </x:c>
      <x:c r="E59" s="15" t="str">
        <x:v>Serras Gerais</x:v>
      </x:c>
      <x:c r="F59" s="15" t="str">
        <x:v>A confirmar</x:v>
      </x:c>
      <x:c r="G59" s="15" t="str"/>
      <x:c r="H59" s="15" t="str">
        <x:v>pendente</x:v>
      </x:c>
      <x:c r="I59" s="15" t="str">
        <x:v>sem_foto_licenciada</x:v>
      </x:c>
      <x:c r="J59" s="15" t="str"/>
      <x:c r="K59" s="15" t="str"/>
      <x:c r="L59" s="15" t="str"/>
      <x:c r="M59" s="15" t="str"/>
      <x:c r="N59" s="15" t="str"/>
      <x:c r="O59" s="15" t="str"/>
      <x:c r="P59" s="15" t="str">
        <x:v>https://www.google.com/maps/search/?api=1&amp;query=Cachoeira+das+Andorinhas%2C+Tocantins%2C+Brasil</x:v>
      </x:c>
      <x:c r="Q59" s="15" t="str">
        <x:v>https://www.google.com/search?tbm=isch&amp;q=Cachoeira+das+Andorinhas%2C+Tocantins%2C+Brasil</x:v>
      </x:c>
      <x:c r="R59" s="15" t="str">
        <x:v>novo</x:v>
      </x:c>
      <x:c r="S59" s="15" t="str">
        <x:v>Município ainda não corroborado por fonte independente.</x:v>
      </x:c>
      <x:c r="T59" s="15" t="str">
        <x:v>cachoeira-das-andorinhas</x:v>
      </x:c>
      <x:c r="U59" s="15" t="str">
        <x:v>somente_mapa</x:v>
      </x:c>
    </x:row>
    <x:row r="60" ht="22" customHeight="1">
      <x:c r="A60" s="15" t="str">
        <x:v>59</x:v>
      </x:c>
      <x:c r="B60" s="15" t="str">
        <x:v>Balneário Douradas</x:v>
      </x:c>
      <x:c r="C60" s="15" t="str">
        <x:v>Balneário Douradas</x:v>
      </x:c>
      <x:c r="D60" s="15" t="str">
        <x:v>Outros / confirmar categoria</x:v>
      </x:c>
      <x:c r="E60" s="15" t="str">
        <x:v>Serras Gerais</x:v>
      </x:c>
      <x:c r="F60" s="15" t="str">
        <x:v>A confirmar</x:v>
      </x:c>
      <x:c r="G60" s="15" t="str"/>
      <x:c r="H60" s="15" t="str">
        <x:v>pendente</x:v>
      </x:c>
      <x:c r="I60" s="15" t="str">
        <x:v>sem_foto_licenciada</x:v>
      </x:c>
      <x:c r="J60" s="15" t="str"/>
      <x:c r="K60" s="15" t="str"/>
      <x:c r="L60" s="15" t="str"/>
      <x:c r="M60" s="15" t="str"/>
      <x:c r="N60" s="15" t="str"/>
      <x:c r="O60" s="15" t="str"/>
      <x:c r="P60" s="15" t="str">
        <x:v>https://www.google.com/maps/search/?api=1&amp;query=Balne%C3%A1rio+Douradas%2C+Tocantins%2C+Brasil</x:v>
      </x:c>
      <x:c r="Q60" s="15" t="str">
        <x:v>https://www.google.com/search?tbm=isch&amp;q=Balne%C3%A1rio+Douradas%2C+Tocantins%2C+Brasil</x:v>
      </x:c>
      <x:c r="R60" s="15" t="str">
        <x:v>novo</x:v>
      </x:c>
      <x:c r="S60" s="15" t="str">
        <x:v>Município ainda não corroborado por fonte independente.</x:v>
      </x:c>
      <x:c r="T60" s="15" t="str">
        <x:v>balneario-douradas</x:v>
      </x:c>
      <x:c r="U60" s="15" t="str">
        <x:v>somente_mapa</x:v>
      </x:c>
    </x:row>
    <x:row r="61" ht="22" customHeight="1">
      <x:c r="A61" s="15" t="str">
        <x:v>60</x:v>
      </x:c>
      <x:c r="B61" s="15" t="str">
        <x:v>Produção de Cachaça e Licores</x:v>
      </x:c>
      <x:c r="C61" s="15" t="str">
        <x:v>Produção de Cachaça e Licores</x:v>
      </x:c>
      <x:c r="D61" s="15" t="str">
        <x:v>Vivência produtiva e cultural</x:v>
      </x:c>
      <x:c r="E61" s="15" t="str">
        <x:v>Serras Gerais</x:v>
      </x:c>
      <x:c r="F61" s="15" t="str">
        <x:v>A confirmar</x:v>
      </x:c>
      <x:c r="G61" s="15" t="str"/>
      <x:c r="H61" s="15" t="str">
        <x:v>pendente</x:v>
      </x:c>
      <x:c r="I61" s="15" t="str">
        <x:v>sem_foto_licenciada</x:v>
      </x:c>
      <x:c r="J61" s="15" t="str"/>
      <x:c r="K61" s="15" t="str"/>
      <x:c r="L61" s="15" t="str"/>
      <x:c r="M61" s="15" t="str"/>
      <x:c r="N61" s="15" t="str"/>
      <x:c r="O61" s="15" t="str"/>
      <x:c r="P61" s="15" t="str">
        <x:v>https://www.google.com/maps/search/?api=1&amp;query=Produ%C3%A7%C3%A3o+de+Cacha%C3%A7a+e+Licores%2C+Tocantins%2C+Brasil</x:v>
      </x:c>
      <x:c r="Q61" s="15" t="str">
        <x:v>https://www.google.com/search?tbm=isch&amp;q=Produ%C3%A7%C3%A3o+de+Cacha%C3%A7a+e+Licores%2C+Tocantins%2C+Brasil</x:v>
      </x:c>
      <x:c r="R61" s="15" t="str">
        <x:v>novo</x:v>
      </x:c>
      <x:c r="S61" s="15" t="str">
        <x:v>Atividade/experiência, sem POI único; requer estabelecimento, endereço e autorização de visitação. Município ainda não corroborado por fonte independente.</x:v>
      </x:c>
      <x:c r="T61" s="15" t="str">
        <x:v>producao-de-cachaca-e-licores</x:v>
      </x:c>
      <x:c r="U61" s="15" t="str">
        <x:v>somente_mapa</x:v>
      </x:c>
    </x:row>
    <x:row r="62" ht="22" customHeight="1">
      <x:c r="A62" s="15" t="str">
        <x:v>61</x:v>
      </x:c>
      <x:c r="B62" s="15" t="str">
        <x:v>Chapada da Tartaruga</x:v>
      </x:c>
      <x:c r="C62" s="15" t="str">
        <x:v>Chapada da Tartaruga</x:v>
      </x:c>
      <x:c r="D62" s="15" t="str">
        <x:v>Formação rochosa / mirante</x:v>
      </x:c>
      <x:c r="E62" s="15" t="str">
        <x:v>Serras Gerais</x:v>
      </x:c>
      <x:c r="F62" s="15" t="str">
        <x:v>A confirmar</x:v>
      </x:c>
      <x:c r="G62" s="15" t="str"/>
      <x:c r="H62" s="15" t="str">
        <x:v>pendente</x:v>
      </x:c>
      <x:c r="I62" s="15" t="str">
        <x:v>sem_foto_licenciada</x:v>
      </x:c>
      <x:c r="J62" s="15" t="str"/>
      <x:c r="K62" s="15" t="str"/>
      <x:c r="L62" s="15" t="str"/>
      <x:c r="M62" s="15" t="str"/>
      <x:c r="N62" s="15" t="str"/>
      <x:c r="O62" s="15" t="str"/>
      <x:c r="P62" s="15" t="str">
        <x:v>https://www.google.com/maps/search/?api=1&amp;query=Chapada+da+Tartaruga%2C+Tocantins%2C+Brasil</x:v>
      </x:c>
      <x:c r="Q62" s="15" t="str">
        <x:v>https://www.google.com/search?tbm=isch&amp;q=Chapada+da+Tartaruga%2C+Tocantins%2C+Brasil</x:v>
      </x:c>
      <x:c r="R62" s="15" t="str">
        <x:v>novo</x:v>
      </x:c>
      <x:c r="S62" s="15" t="str">
        <x:v>Município ainda não corroborado por fonte independente.</x:v>
      </x:c>
      <x:c r="T62" s="15" t="str">
        <x:v>chapada-da-tartaruga</x:v>
      </x:c>
      <x:c r="U62" s="15" t="str">
        <x:v>somente_mapa</x:v>
      </x:c>
    </x:row>
    <x:row r="63" ht="22" customHeight="1">
      <x:c r="A63" s="15" t="str">
        <x:v>62</x:v>
      </x:c>
      <x:c r="B63" s="15" t="str">
        <x:v>Cachoeira Paraíso</x:v>
      </x:c>
      <x:c r="C63" s="15" t="str">
        <x:v>Cachoeira Paraíso</x:v>
      </x:c>
      <x:c r="D63" s="15" t="str">
        <x:v>Cachoeira</x:v>
      </x:c>
      <x:c r="E63" s="15" t="str">
        <x:v>Serras Gerais</x:v>
      </x:c>
      <x:c r="F63" s="15" t="str">
        <x:v>A confirmar</x:v>
      </x:c>
      <x:c r="G63" s="15" t="str"/>
      <x:c r="H63" s="15" t="str">
        <x:v>pendente</x:v>
      </x:c>
      <x:c r="I63" s="15" t="str">
        <x:v>sem_foto_licenciada</x:v>
      </x:c>
      <x:c r="J63" s="15" t="str"/>
      <x:c r="K63" s="15" t="str"/>
      <x:c r="L63" s="15" t="str"/>
      <x:c r="M63" s="15" t="str"/>
      <x:c r="N63" s="15" t="str"/>
      <x:c r="O63" s="15" t="str"/>
      <x:c r="P63" s="15" t="str">
        <x:v>https://www.google.com/maps/search/?api=1&amp;query=Cachoeira+Para%C3%ADso%2C+Tocantins%2C+Brasil</x:v>
      </x:c>
      <x:c r="Q63" s="15" t="str">
        <x:v>https://www.google.com/search?tbm=isch&amp;q=Cachoeira+Para%C3%ADso%2C+Tocantins%2C+Brasil</x:v>
      </x:c>
      <x:c r="R63" s="15" t="str">
        <x:v>novo</x:v>
      </x:c>
      <x:c r="S63" s="15" t="str">
        <x:v>Município ainda não corroborado por fonte independente.</x:v>
      </x:c>
      <x:c r="T63" s="15" t="str">
        <x:v>cachoeira-paraiso</x:v>
      </x:c>
      <x:c r="U63" s="15" t="str">
        <x:v>somente_mapa</x:v>
      </x:c>
    </x:row>
  </x:sheetData>
  <x:pageMargins left="0.7" right="0.7" top="0.75" bottom="0.75" header="0.3" footer="0.3"/>
  <x:tableParts count="1">
    <x:tablePart xmlns:r="http://schemas.openxmlformats.org/officeDocument/2006/relationships" r:id="R501e42b9478b4edf"/>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9" hidden="0" customWidth="1"/>
    <x:col min="3" max="3" width="29" hidden="0" customWidth="1"/>
    <x:col min="4" max="4" width="22" hidden="0" customWidth="1"/>
    <x:col min="5" max="5" width="22" hidden="0" customWidth="1"/>
    <x:col min="6" max="6" width="22" hidden="0" customWidth="1"/>
    <x:col min="7" max="7" width="23" hidden="0" customWidth="1"/>
    <x:col min="8" max="8" width="23" hidden="0" customWidth="1"/>
    <x:col min="9" max="9" width="23" hidden="0" customWidth="1"/>
    <x:col min="10" max="10" width="36" hidden="0" customWidth="1"/>
    <x:col min="11" max="11" width="36" hidden="0" customWidth="1"/>
    <x:col min="12" max="12" width="21" hidden="0" customWidth="1"/>
    <x:col min="13" max="13" width="21" hidden="0" customWidth="1"/>
    <x:col min="14" max="14" width="47" hidden="0" customWidth="1"/>
    <x:col min="15" max="15" width="47" hidden="0" customWidth="1"/>
    <x:col min="16" max="16" width="47" hidden="0" customWidth="1"/>
    <x:col min="17" max="17" width="47" hidden="0" customWidth="1"/>
    <x:col min="18" max="18" width="27" hidden="0" customWidth="1"/>
    <x:col min="19" max="19" width="49" hidden="0" customWidth="1"/>
    <x:col min="20" max="20" width="28" hidden="0" customWidth="1"/>
    <x:col min="21" max="21" width="27" hidden="0" customWidth="1"/>
  </x:cols>
  <x:sheetData>
    <x:row r="1" ht="30" customHeight="1">
      <x:c r="A1" s="23" t="str">
        <x:v>numero_no_mapa</x:v>
      </x:c>
      <x:c r="B1" s="23" t="str">
        <x:v>nome_no_mapa</x:v>
      </x:c>
      <x:c r="C1" s="23" t="str">
        <x:v>nome_canonico</x:v>
      </x:c>
      <x:c r="D1" s="23" t="str">
        <x:v>categoria</x:v>
      </x:c>
      <x:c r="E1" s="23" t="str">
        <x:v>setor_do_mapa</x:v>
      </x:c>
      <x:c r="F1" s="23" t="str">
        <x:v>recorte_turistico</x:v>
      </x:c>
      <x:c r="G1" s="23" t="str">
        <x:v>municipio</x:v>
      </x:c>
      <x:c r="H1" s="23" t="str">
        <x:v>municipio_status</x:v>
      </x:c>
      <x:c r="I1" s="23" t="str">
        <x:v>foto_status</x:v>
      </x:c>
      <x:c r="J1" s="23" t="str">
        <x:v>foto_url</x:v>
      </x:c>
      <x:c r="K1" s="23" t="str">
        <x:v>foto_pagina_wikimedia</x:v>
      </x:c>
      <x:c r="L1" s="23" t="str">
        <x:v>autor_foto</x:v>
      </x:c>
      <x:c r="M1" s="23" t="str">
        <x:v>licenca</x:v>
      </x:c>
      <x:c r="N1" s="23" t="str">
        <x:v>fonte_institucional_ou_referencia</x:v>
      </x:c>
      <x:c r="O1" s="23" t="str">
        <x:v>imagem_pagina_oficial</x:v>
      </x:c>
      <x:c r="P1" s="23" t="str">
        <x:v>google_maps_busca</x:v>
      </x:c>
      <x:c r="Q1" s="23" t="str">
        <x:v>busca_imagens</x:v>
      </x:c>
      <x:c r="R1" s="23" t="str">
        <x:v>equivalencia_com_catalogo_anterior</x:v>
      </x:c>
      <x:c r="S1" s="23" t="str">
        <x:v>nota_validacao</x:v>
      </x:c>
      <x:c r="T1" s="23" t="str">
        <x:v>id</x:v>
      </x:c>
      <x:c r="U1" s="23" t="str">
        <x:v>status_cadastro</x:v>
      </x:c>
    </x:row>
    <x:row r="2" ht="22" customHeight="1">
      <x:c r="A2" s="15" t="str">
        <x:v>1</x:v>
      </x:c>
      <x:c r="B2" s="15" t="str">
        <x:v>Morro do Gorgulho</x:v>
      </x:c>
      <x:c r="C2" s="15" t="str">
        <x:v>Morro do Gorgulho</x:v>
      </x:c>
      <x:c r="D2" s="15" t="str">
        <x:v>Formação rochosa / mirante</x:v>
      </x:c>
      <x:c r="E2" s="15" t="str">
        <x:v>Jalapão</x:v>
      </x:c>
      <x:c r="F2" s="15" t="str">
        <x:v>A confirmar</x:v>
      </x:c>
      <x:c r="G2" s="15" t="str"/>
      <x:c r="H2" s="15" t="str">
        <x:v>pendente</x:v>
      </x:c>
      <x:c r="I2" s="15" t="str">
        <x:v>sem_foto_licenciada</x:v>
      </x:c>
      <x:c r="J2" s="15" t="str"/>
      <x:c r="K2" s="15" t="str"/>
      <x:c r="L2" s="15" t="str"/>
      <x:c r="M2" s="15" t="str"/>
      <x:c r="N2" s="15" t="str"/>
      <x:c r="O2" s="15" t="str"/>
      <x:c r="P2" s="15" t="str">
        <x:v>https://www.google.com/maps/search/?api=1&amp;query=Morro+do+Gorgulho%2C+Tocantins%2C+Brasil</x:v>
      </x:c>
      <x:c r="Q2" s="15" t="str">
        <x:v>https://www.google.com/search?tbm=isch&amp;q=Morro+do+Gorgulho%2C+Tocantins%2C+Brasil</x:v>
      </x:c>
      <x:c r="R2" s="15" t="str">
        <x:v>novo</x:v>
      </x:c>
      <x:c r="S2" s="15" t="str">
        <x:v>Município ainda não corroborado por fonte independente.</x:v>
      </x:c>
      <x:c r="T2" s="15" t="str">
        <x:v>morro-do-gorgulho</x:v>
      </x:c>
      <x:c r="U2" s="15" t="str">
        <x:v>somente_mapa</x:v>
      </x:c>
    </x:row>
    <x:row r="3" ht="22" customHeight="1">
      <x:c r="A3" s="15" t="str">
        <x:v>2</x:v>
      </x:c>
      <x:c r="B3" s="15" t="str">
        <x:v>Fazenda Rio Vermelho</x:v>
      </x:c>
      <x:c r="C3" s="15" t="str">
        <x:v>Fazenda Rio Vermelho</x:v>
      </x:c>
      <x:c r="D3" s="15" t="str">
        <x:v>Outros / confirmar categoria</x:v>
      </x:c>
      <x:c r="E3" s="15" t="str">
        <x:v>Jalapão</x:v>
      </x:c>
      <x:c r="F3" s="15" t="str">
        <x:v>A confirmar</x:v>
      </x:c>
      <x:c r="G3" s="15" t="str"/>
      <x:c r="H3" s="15" t="str">
        <x:v>pendente</x:v>
      </x:c>
      <x:c r="I3" s="15" t="str">
        <x:v>sem_foto_licenciada</x:v>
      </x:c>
      <x:c r="J3" s="15" t="str"/>
      <x:c r="K3" s="15" t="str"/>
      <x:c r="L3" s="15" t="str"/>
      <x:c r="M3" s="15" t="str"/>
      <x:c r="N3" s="15" t="str"/>
      <x:c r="O3" s="15" t="str"/>
      <x:c r="P3" s="15" t="str">
        <x:v>https://www.google.com/maps/search/?api=1&amp;query=Fazenda+Rio+Vermelho%2C+Tocantins%2C+Brasil</x:v>
      </x:c>
      <x:c r="Q3" s="15" t="str">
        <x:v>https://www.google.com/search?tbm=isch&amp;q=Fazenda+Rio+Vermelho%2C+Tocantins%2C+Brasil</x:v>
      </x:c>
      <x:c r="R3" s="15" t="str">
        <x:v>novo</x:v>
      </x:c>
      <x:c r="S3" s="15" t="str">
        <x:v>Município ainda não corroborado por fonte independente.</x:v>
      </x:c>
      <x:c r="T3" s="15" t="str">
        <x:v>fazenda-rio-vermelho</x:v>
      </x:c>
      <x:c r="U3" s="15" t="str">
        <x:v>somente_mapa</x:v>
      </x:c>
    </x:row>
    <x:row r="4" ht="22" customHeight="1">
      <x:c r="A4" s="15" t="str">
        <x:v>3</x:v>
      </x:c>
      <x:c r="B4" s="15" t="str">
        <x:v>Mirante do Sol</x:v>
      </x:c>
      <x:c r="C4" s="15" t="str">
        <x:v>Mirante do Sol</x:v>
      </x:c>
      <x:c r="D4" s="15" t="str">
        <x:v>Formação rochosa / mirante</x:v>
      </x:c>
      <x:c r="E4" s="15" t="str">
        <x:v>Jalapão</x:v>
      </x:c>
      <x:c r="F4" s="15" t="str">
        <x:v>A confirmar</x:v>
      </x:c>
      <x:c r="G4" s="15" t="str"/>
      <x:c r="H4" s="15" t="str">
        <x:v>pendente</x:v>
      </x:c>
      <x:c r="I4" s="15" t="str">
        <x:v>sem_foto_licenciada</x:v>
      </x:c>
      <x:c r="J4" s="15" t="str"/>
      <x:c r="K4" s="15" t="str"/>
      <x:c r="L4" s="15" t="str"/>
      <x:c r="M4" s="15" t="str"/>
      <x:c r="N4" s="15" t="str"/>
      <x:c r="O4" s="15" t="str"/>
      <x:c r="P4" s="15" t="str">
        <x:v>https://www.google.com/maps/search/?api=1&amp;query=Mirante+do+Sol%2C+Tocantins%2C+Brasil</x:v>
      </x:c>
      <x:c r="Q4" s="15" t="str">
        <x:v>https://www.google.com/search?tbm=isch&amp;q=Mirante+do+Sol%2C+Tocantins%2C+Brasil</x:v>
      </x:c>
      <x:c r="R4" s="15" t="str">
        <x:v>novo</x:v>
      </x:c>
      <x:c r="S4" s="15" t="str">
        <x:v>Município ainda não corroborado por fonte independente.</x:v>
      </x:c>
      <x:c r="T4" s="15" t="str">
        <x:v>mirante-do-sol</x:v>
      </x:c>
      <x:c r="U4" s="15" t="str">
        <x:v>somente_mapa</x:v>
      </x:c>
    </x:row>
    <x:row r="5" ht="22" customHeight="1">
      <x:c r="A5" s="15" t="str">
        <x:v>4</x:v>
      </x:c>
      <x:c r="B5" s="15" t="str">
        <x:v>Cachoeira do Brejo da Cama</x:v>
      </x:c>
      <x:c r="C5" s="15" t="str">
        <x:v>Cachoeira do Brejo da Cama</x:v>
      </x:c>
      <x:c r="D5" s="15" t="str">
        <x:v>Cachoeira</x:v>
      </x:c>
      <x:c r="E5" s="15" t="str">
        <x:v>Jalapão</x:v>
      </x:c>
      <x:c r="F5" s="15" t="str">
        <x:v>A confirmar</x:v>
      </x:c>
      <x:c r="G5" s="15" t="str"/>
      <x:c r="H5" s="15" t="str">
        <x:v>pendente</x:v>
      </x:c>
      <x:c r="I5" s="15" t="str">
        <x:v>sem_foto_licenciada</x:v>
      </x:c>
      <x:c r="J5" s="15" t="str"/>
      <x:c r="K5" s="15" t="str"/>
      <x:c r="L5" s="15" t="str"/>
      <x:c r="M5" s="15" t="str"/>
      <x:c r="N5" s="15" t="str"/>
      <x:c r="O5" s="15" t="str"/>
      <x:c r="P5" s="15" t="str">
        <x:v>https://www.google.com/maps/search/?api=1&amp;query=Cachoeira+do+Brejo+da+Cama%2C+Tocantins%2C+Brasil</x:v>
      </x:c>
      <x:c r="Q5" s="15" t="str">
        <x:v>https://www.google.com/search?tbm=isch&amp;q=Cachoeira+do+Brejo+da+Cama%2C+Tocantins%2C+Brasil</x:v>
      </x:c>
      <x:c r="R5" s="15" t="str">
        <x:v>novo</x:v>
      </x:c>
      <x:c r="S5" s="15" t="str">
        <x:v>Município ainda não corroborado por fonte independente.</x:v>
      </x:c>
      <x:c r="T5" s="15" t="str">
        <x:v>cachoeira-do-brejo-da-cama</x:v>
      </x:c>
      <x:c r="U5" s="15" t="str">
        <x:v>somente_mapa</x:v>
      </x:c>
    </x:row>
    <x:row r="6" ht="22" customHeight="1">
      <x:c r="A6" s="15" t="str">
        <x:v>5</x:v>
      </x:c>
      <x:c r="B6" s="15" t="str">
        <x:v>Serra da Muriçoca</x:v>
      </x:c>
      <x:c r="C6" s="15" t="str">
        <x:v>Serra da Muriçoca</x:v>
      </x:c>
      <x:c r="D6" s="15" t="str">
        <x:v>Formação rochosa / mirante</x:v>
      </x:c>
      <x:c r="E6" s="15" t="str">
        <x:v>Jalapão</x:v>
      </x:c>
      <x:c r="F6" s="15" t="str">
        <x:v>A confirmar</x:v>
      </x:c>
      <x:c r="G6" s="15" t="str"/>
      <x:c r="H6" s="15" t="str">
        <x:v>pendente</x:v>
      </x:c>
      <x:c r="I6" s="15" t="str">
        <x:v>sem_foto_licenciada</x:v>
      </x:c>
      <x:c r="J6" s="15" t="str"/>
      <x:c r="K6" s="15" t="str"/>
      <x:c r="L6" s="15" t="str"/>
      <x:c r="M6" s="15" t="str"/>
      <x:c r="N6" s="15" t="str"/>
      <x:c r="O6" s="15" t="str"/>
      <x:c r="P6" s="15" t="str">
        <x:v>https://www.google.com/maps/search/?api=1&amp;query=Serra+da+Muri%C3%A7oca%2C+Tocantins%2C+Brasil</x:v>
      </x:c>
      <x:c r="Q6" s="15" t="str">
        <x:v>https://www.google.com/search?tbm=isch&amp;q=Serra+da+Muri%C3%A7oca%2C+Tocantins%2C+Brasil</x:v>
      </x:c>
      <x:c r="R6" s="15" t="str">
        <x:v>novo</x:v>
      </x:c>
      <x:c r="S6" s="15" t="str">
        <x:v>Município ainda não corroborado por fonte independente.</x:v>
      </x:c>
      <x:c r="T6" s="15" t="str">
        <x:v>serra-da-muricoca</x:v>
      </x:c>
      <x:c r="U6" s="15" t="str">
        <x:v>somente_mapa</x:v>
      </x:c>
    </x:row>
    <x:row r="7" ht="22" customHeight="1">
      <x:c r="A7" s="15" t="str">
        <x:v>6</x:v>
      </x:c>
      <x:c r="B7" s="15" t="str">
        <x:v>Cachoeira do Lajeado</x:v>
      </x:c>
      <x:c r="C7" s="15" t="str">
        <x:v>Cachoeira do Lajeado</x:v>
      </x:c>
      <x:c r="D7" s="15" t="str">
        <x:v>Cachoeira</x:v>
      </x:c>
      <x:c r="E7" s="15" t="str">
        <x:v>Jalapão</x:v>
      </x:c>
      <x:c r="F7" s="15" t="str">
        <x:v>A confirmar</x:v>
      </x:c>
      <x:c r="G7" s="15" t="str"/>
      <x:c r="H7" s="15" t="str">
        <x:v>pendente</x:v>
      </x:c>
      <x:c r="I7" s="15" t="str">
        <x:v>sem_foto_licenciada</x:v>
      </x:c>
      <x:c r="J7" s="15" t="str"/>
      <x:c r="K7" s="15" t="str"/>
      <x:c r="L7" s="15" t="str"/>
      <x:c r="M7" s="15" t="str"/>
      <x:c r="N7" s="15" t="str"/>
      <x:c r="O7" s="15" t="str"/>
      <x:c r="P7" s="15" t="str">
        <x:v>https://www.google.com/maps/search/?api=1&amp;query=Cachoeira+do+Lajeado%2C+Tocantins%2C+Brasil</x:v>
      </x:c>
      <x:c r="Q7" s="15" t="str">
        <x:v>https://www.google.com/search?tbm=isch&amp;q=Cachoeira+do+Lajeado%2C+Tocantins%2C+Brasil</x:v>
      </x:c>
      <x:c r="R7" s="15" t="str">
        <x:v>novo</x:v>
      </x:c>
      <x:c r="S7" s="15" t="str">
        <x:v>Município ainda não corroborado por fonte independente.</x:v>
      </x:c>
      <x:c r="T7" s="15" t="str">
        <x:v>cachoeira-do-lajeado</x:v>
      </x:c>
      <x:c r="U7" s="15" t="str">
        <x:v>somente_mapa</x:v>
      </x:c>
    </x:row>
    <x:row r="8" ht="22" customHeight="1">
      <x:c r="A8" s="15" t="str">
        <x:v>7</x:v>
      </x:c>
      <x:c r="B8" s="15" t="str">
        <x:v>Cânion Sussuapara</x:v>
      </x:c>
      <x:c r="C8" s="15" t="str">
        <x:v>Cânion Sussuapara</x:v>
      </x:c>
      <x:c r="D8" s="15" t="str">
        <x:v>Cânion</x:v>
      </x:c>
      <x:c r="E8" s="15" t="str">
        <x:v>Jalapão</x:v>
      </x:c>
      <x:c r="F8" s="15" t="str">
        <x:v>Encantos do Jalapão</x:v>
      </x:c>
      <x:c r="G8" s="15" t="str">
        <x:v>Ponte Alta do Tocantins</x:v>
      </x:c>
      <x:c r="H8" s="15" t="str">
        <x:v>corroborado</x:v>
      </x:c>
      <x:c r="I8" s="15" t="str">
        <x:v>foto_licenciada</x:v>
      </x:c>
      <x:c r="J8" s="15" t="str">
        <x:v>https://commons.wikimedia.org/wiki/Special:FilePath/C%C3%A2nion_Sussuapara.jpg?width=960</x:v>
      </x:c>
      <x:c r="K8" s="15" t="str">
        <x:v>https://commons.wikimedia.org/wiki/File:C%C3%A2nion_Sussuapara.jpg</x:v>
      </x:c>
      <x:c r="L8" s="15" t="str">
        <x:v>Amanda Santiago</x:v>
      </x:c>
      <x:c r="M8" s="15" t="str">
        <x:v>CC BY-SA 4.0</x:v>
      </x:c>
      <x:c r="N8" s="15" t="str">
        <x:v>https://central3.to.gov.br/arquivo/572017/</x:v>
      </x:c>
      <x:c r="O8" s="15" t="str"/>
      <x:c r="P8" s="15" t="str">
        <x:v>https://www.google.com/maps/search/?api=1&amp;query=C%C3%A2nion+Sussuapara%2C+Ponte+Alta+do+Tocantins%2C+Tocantins%2C+Brasil</x:v>
      </x:c>
      <x:c r="Q8" s="15" t="str">
        <x:v>https://www.google.com/search?tbm=isch&amp;q=C%C3%A2nion+Sussuapara%2C+Ponte+Alta+do+Tocantins%2C+Tocantins%2C+Brasil</x:v>
      </x:c>
      <x:c r="R8" s="15" t="str">
        <x:v>confirmada_por_nome</x:v>
      </x:c>
      <x:c r="S8" s="15" t="str">
        <x:v>Imagem herdada do catálogo anterior; conferir novamente os metadados do Wikimedia antes de publicação definitiva.</x:v>
      </x:c>
      <x:c r="T8" s="15" t="str">
        <x:v>canion-sussuapara</x:v>
      </x:c>
      <x:c r="U8" s="15" t="str">
        <x:v>documentado_por_fonte</x:v>
      </x:c>
    </x:row>
    <x:row r="9" ht="22" customHeight="1">
      <x:c r="A9" s="15" t="str">
        <x:v>8</x:v>
      </x:c>
      <x:c r="B9" s="15" t="str">
        <x:v>Cachoeira da Pedra Furada</x:v>
      </x:c>
      <x:c r="C9" s="15" t="str">
        <x:v>Cachoeira da Pedra Furada</x:v>
      </x:c>
      <x:c r="D9" s="15" t="str">
        <x:v>Cachoeira</x:v>
      </x:c>
      <x:c r="E9" s="15" t="str">
        <x:v>Jalapão</x:v>
      </x:c>
      <x:c r="F9" s="15" t="str">
        <x:v>A confirmar</x:v>
      </x:c>
      <x:c r="G9" s="15" t="str"/>
      <x:c r="H9" s="15" t="str">
        <x:v>pendente</x:v>
      </x:c>
      <x:c r="I9" s="15" t="str">
        <x:v>sem_foto_licenciada</x:v>
      </x:c>
      <x:c r="J9" s="15" t="str"/>
      <x:c r="K9" s="15" t="str"/>
      <x:c r="L9" s="15" t="str"/>
      <x:c r="M9" s="15" t="str"/>
      <x:c r="N9" s="15" t="str"/>
      <x:c r="O9" s="15" t="str"/>
      <x:c r="P9" s="15" t="str">
        <x:v>https://www.google.com/maps/search/?api=1&amp;query=Cachoeira+da+Pedra+Furada%2C+Tocantins%2C+Brasil</x:v>
      </x:c>
      <x:c r="Q9" s="15" t="str">
        <x:v>https://www.google.com/search?tbm=isch&amp;q=Cachoeira+da+Pedra+Furada%2C+Tocantins%2C+Brasil</x:v>
      </x:c>
      <x:c r="R9" s="15" t="str">
        <x:v>novo</x:v>
      </x:c>
      <x:c r="S9" s="15" t="str">
        <x:v>Município ainda não corroborado por fonte independente.</x:v>
      </x:c>
      <x:c r="T9" s="15" t="str">
        <x:v>cachoeira-da-pedra-furada</x:v>
      </x:c>
      <x:c r="U9" s="15" t="str">
        <x:v>somente_mapa</x:v>
      </x:c>
    </x:row>
    <x:row r="10" ht="22" customHeight="1">
      <x:c r="A10" s="15" t="str">
        <x:v>9</x:v>
      </x:c>
      <x:c r="B10" s="15" t="str">
        <x:v>Morro da Pedra Furada</x:v>
      </x:c>
      <x:c r="C10" s="15" t="str">
        <x:v>Morro da Pedra Furada</x:v>
      </x:c>
      <x:c r="D10" s="15" t="str">
        <x:v>Formação rochosa / mirante</x:v>
      </x:c>
      <x:c r="E10" s="15" t="str">
        <x:v>Jalapão</x:v>
      </x:c>
      <x:c r="F10" s="15" t="str">
        <x:v>A confirmar</x:v>
      </x:c>
      <x:c r="G10" s="15" t="str"/>
      <x:c r="H10" s="15" t="str">
        <x:v>pendente</x:v>
      </x:c>
      <x:c r="I10" s="15" t="str">
        <x:v>sem_foto_licenciada</x:v>
      </x:c>
      <x:c r="J10" s="15" t="str"/>
      <x:c r="K10" s="15" t="str"/>
      <x:c r="L10" s="15" t="str"/>
      <x:c r="M10" s="15" t="str"/>
      <x:c r="N10" s="15" t="str"/>
      <x:c r="O10" s="15" t="str"/>
      <x:c r="P10" s="15" t="str">
        <x:v>https://www.google.com/maps/search/?api=1&amp;query=Morro+da+Pedra+Furada%2C+Tocantins%2C+Brasil</x:v>
      </x:c>
      <x:c r="Q10" s="15" t="str">
        <x:v>https://www.google.com/search?tbm=isch&amp;q=Morro+da+Pedra+Furada%2C+Tocantins%2C+Brasil</x:v>
      </x:c>
      <x:c r="R10" s="15" t="str">
        <x:v>possivel</x:v>
      </x:c>
      <x:c r="S10" s="15" t="str">
        <x:v>Possível equivalência com Pedra Furada de Ponte Alta: confirmar se Morro da Pedra Furada é o mesmo POI antes do merge de entidades/fotos. Município ainda não corroborado por fonte independente.</x:v>
      </x:c>
      <x:c r="T10" s="15" t="str">
        <x:v>morro-da-pedra-furada</x:v>
      </x:c>
      <x:c r="U10" s="15" t="str">
        <x:v>somente_mapa</x:v>
      </x:c>
    </x:row>
    <x:row r="11" ht="22" customHeight="1">
      <x:c r="A11" s="15" t="str">
        <x:v>10</x:v>
      </x:c>
      <x:c r="B11" s="15" t="str">
        <x:v>Parque Encantado</x:v>
      </x:c>
      <x:c r="C11" s="15" t="str">
        <x:v>Parque Encantado</x:v>
      </x:c>
      <x:c r="D11" s="15" t="str">
        <x:v>Outros / confirmar categoria</x:v>
      </x:c>
      <x:c r="E11" s="15" t="str">
        <x:v>Jalapão</x:v>
      </x:c>
      <x:c r="F11" s="15" t="str">
        <x:v>A confirmar</x:v>
      </x:c>
      <x:c r="G11" s="15" t="str"/>
      <x:c r="H11" s="15" t="str">
        <x:v>pendente</x:v>
      </x:c>
      <x:c r="I11" s="15" t="str">
        <x:v>sem_foto_licenciada</x:v>
      </x:c>
      <x:c r="J11" s="15" t="str"/>
      <x:c r="K11" s="15" t="str"/>
      <x:c r="L11" s="15" t="str"/>
      <x:c r="M11" s="15" t="str"/>
      <x:c r="N11" s="15" t="str"/>
      <x:c r="O11" s="15" t="str"/>
      <x:c r="P11" s="15" t="str">
        <x:v>https://www.google.com/maps/search/?api=1&amp;query=Parque+Encantado%2C+Tocantins%2C+Brasil</x:v>
      </x:c>
      <x:c r="Q11" s="15" t="str">
        <x:v>https://www.google.com/search?tbm=isch&amp;q=Parque+Encantado%2C+Tocantins%2C+Brasil</x:v>
      </x:c>
      <x:c r="R11" s="15" t="str">
        <x:v>novo</x:v>
      </x:c>
      <x:c r="S11" s="15" t="str">
        <x:v>Município ainda não corroborado por fonte independente.</x:v>
      </x:c>
      <x:c r="T11" s="15" t="str">
        <x:v>parque-encantado</x:v>
      </x:c>
      <x:c r="U11" s="15" t="str">
        <x:v>somente_mapa</x:v>
      </x:c>
    </x:row>
    <x:row r="12" ht="22" customHeight="1">
      <x:c r="A12" s="15" t="str">
        <x:v>11</x:v>
      </x:c>
      <x:c r="B12" s="15" t="str">
        <x:v>Nascente do Peixinho</x:v>
      </x:c>
      <x:c r="C12" s="15" t="str">
        <x:v>Nascente do Peixinho</x:v>
      </x:c>
      <x:c r="D12" s="15" t="str">
        <x:v>Nascente</x:v>
      </x:c>
      <x:c r="E12" s="15" t="str">
        <x:v>Jalapão</x:v>
      </x:c>
      <x:c r="F12" s="15" t="str">
        <x:v>A confirmar</x:v>
      </x:c>
      <x:c r="G12" s="15" t="str"/>
      <x:c r="H12" s="15" t="str">
        <x:v>pendente</x:v>
      </x:c>
      <x:c r="I12" s="15" t="str">
        <x:v>sem_foto_licenciada</x:v>
      </x:c>
      <x:c r="J12" s="15" t="str"/>
      <x:c r="K12" s="15" t="str"/>
      <x:c r="L12" s="15" t="str"/>
      <x:c r="M12" s="15" t="str"/>
      <x:c r="N12" s="15" t="str"/>
      <x:c r="O12" s="15" t="str"/>
      <x:c r="P12" s="15" t="str">
        <x:v>https://www.google.com/maps/search/?api=1&amp;query=Nascente+do+Peixinho%2C+Tocantins%2C+Brasil</x:v>
      </x:c>
      <x:c r="Q12" s="15" t="str">
        <x:v>https://www.google.com/search?tbm=isch&amp;q=Nascente+do+Peixinho%2C+Tocantins%2C+Brasil</x:v>
      </x:c>
      <x:c r="R12" s="15" t="str">
        <x:v>novo</x:v>
      </x:c>
      <x:c r="S12" s="15" t="str">
        <x:v>Município ainda não corroborado por fonte independente.</x:v>
      </x:c>
      <x:c r="T12" s="15" t="str">
        <x:v>nascente-do-peixinho</x:v>
      </x:c>
      <x:c r="U12" s="15" t="str">
        <x:v>somente_mapa</x:v>
      </x:c>
    </x:row>
    <x:row r="13" ht="22" customHeight="1">
      <x:c r="A13" s="15" t="str">
        <x:v>12</x:v>
      </x:c>
      <x:c r="B13" s="15" t="str">
        <x:v>Praia dos Rios</x:v>
      </x:c>
      <x:c r="C13" s="15" t="str">
        <x:v>Praia dos Rios</x:v>
      </x:c>
      <x:c r="D13" s="15" t="str">
        <x:v>Praia fluvial</x:v>
      </x:c>
      <x:c r="E13" s="15" t="str">
        <x:v>Jalapão</x:v>
      </x:c>
      <x:c r="F13" s="15" t="str">
        <x:v>A confirmar</x:v>
      </x:c>
      <x:c r="G13" s="15" t="str"/>
      <x:c r="H13" s="15" t="str">
        <x:v>pendente</x:v>
      </x:c>
      <x:c r="I13" s="15" t="str">
        <x:v>sem_foto_licenciada</x:v>
      </x:c>
      <x:c r="J13" s="15" t="str"/>
      <x:c r="K13" s="15" t="str"/>
      <x:c r="L13" s="15" t="str"/>
      <x:c r="M13" s="15" t="str"/>
      <x:c r="N13" s="15" t="str"/>
      <x:c r="O13" s="15" t="str"/>
      <x:c r="P13" s="15" t="str">
        <x:v>https://www.google.com/maps/search/?api=1&amp;query=Praia+dos+Rios%2C+Tocantins%2C+Brasil</x:v>
      </x:c>
      <x:c r="Q13" s="15" t="str">
        <x:v>https://www.google.com/search?tbm=isch&amp;q=Praia+dos+Rios%2C+Tocantins%2C+Brasil</x:v>
      </x:c>
      <x:c r="R13" s="15" t="str">
        <x:v>novo</x:v>
      </x:c>
      <x:c r="S13" s="15" t="str">
        <x:v>Município ainda não corroborado por fonte independente.</x:v>
      </x:c>
      <x:c r="T13" s="15" t="str">
        <x:v>praia-dos-rios</x:v>
      </x:c>
      <x:c r="U13" s="15" t="str">
        <x:v>somente_mapa</x:v>
      </x:c>
    </x:row>
    <x:row r="14" ht="22" customHeight="1">
      <x:c r="A14" s="15" t="str">
        <x:v>13</x:v>
      </x:c>
      <x:c r="B14" s="15" t="str">
        <x:v>Serra da Catedral</x:v>
      </x:c>
      <x:c r="C14" s="15" t="str">
        <x:v>Serra da Catedral</x:v>
      </x:c>
      <x:c r="D14" s="15" t="str">
        <x:v>Serra/mirante</x:v>
      </x:c>
      <x:c r="E14" s="15" t="str">
        <x:v>Jalapão</x:v>
      </x:c>
      <x:c r="F14" s="15" t="str">
        <x:v>Encantos do Jalapão</x:v>
      </x:c>
      <x:c r="G14" s="15" t="str">
        <x:v>São Félix do Tocantins</x:v>
      </x:c>
      <x:c r="H14" s="15" t="str">
        <x:v>corroborado</x:v>
      </x:c>
      <x:c r="I14" s="15" t="str">
        <x:v>foto_licenciada</x:v>
      </x:c>
      <x:c r="J14" s="15" t="str">
        <x:v>https://commons.wikimedia.org/wiki/Special:FilePath/Imagem_da_Serra_da_Catedral.jpg?width=960</x:v>
      </x:c>
      <x:c r="K14" s="15" t="str">
        <x:v>https://commons.wikimedia.org/wiki/File:Imagem_da_Serra_da_Catedral.jpg</x:v>
      </x:c>
      <x:c r="L14" s="15" t="str">
        <x:v>Manoel Rebello de Rezende Filho</x:v>
      </x:c>
      <x:c r="M14" s="15" t="str">
        <x:v>CC BY-SA 4.0</x:v>
      </x:c>
      <x:c r="N14" s="15" t="str">
        <x:v>https://saofelix.to.gov.br/</x:v>
      </x:c>
      <x:c r="O14" s="15" t="str"/>
      <x:c r="P14" s="15" t="str">
        <x:v>https://www.google.com/maps/search/?api=1&amp;query=Serra+da+Catedral%2C+S%C3%A3o+F%C3%A9lix+do+Tocantins%2C+Tocantins%2C+Brasil</x:v>
      </x:c>
      <x:c r="Q14" s="15" t="str">
        <x:v>https://www.google.com/search?tbm=isch&amp;q=Serra+da+Catedral%2C+S%C3%A3o+F%C3%A9lix+do+Tocantins%2C+Tocantins%2C+Brasil</x:v>
      </x:c>
      <x:c r="R14" s="15" t="str">
        <x:v>confirmada_por_nome</x:v>
      </x:c>
      <x:c r="S14" s="15" t="str">
        <x:v>Imagem herdada do catálogo anterior; conferir novamente os metadados do Wikimedia antes de publicação definitiva.</x:v>
      </x:c>
      <x:c r="T14" s="15" t="str">
        <x:v>serra-catedral</x:v>
      </x:c>
      <x:c r="U14" s="15" t="str">
        <x:v>documentado_por_fonte</x:v>
      </x:c>
    </x:row>
    <x:row r="15" ht="22" customHeight="1">
      <x:c r="A15" s="15" t="str">
        <x:v>14</x:v>
      </x:c>
      <x:c r="B15" s="15" t="str">
        <x:v>Prainha do Rio Novo</x:v>
      </x:c>
      <x:c r="C15" s="15" t="str">
        <x:v>Prainha do Rio Novo</x:v>
      </x:c>
      <x:c r="D15" s="15" t="str">
        <x:v>Praia fluvial</x:v>
      </x:c>
      <x:c r="E15" s="15" t="str">
        <x:v>Jalapão</x:v>
      </x:c>
      <x:c r="F15" s="15" t="str">
        <x:v>Encantos do Jalapão</x:v>
      </x:c>
      <x:c r="G15" s="15" t="str">
        <x:v>Mateiros</x:v>
      </x:c>
      <x:c r="H15" s="15" t="str">
        <x:v>corroborado</x:v>
      </x:c>
      <x:c r="I15" s="15" t="str">
        <x:v>foto_licenciada</x:v>
      </x:c>
      <x:c r="J15" s="15" t="str">
        <x:v>https://commons.wikimedia.org/wiki/Special:FilePath/Prainha_do_Rio_Novo_-_Jalap%C3%A3o_(1)_(53037332474).jpg?width=960</x:v>
      </x:c>
      <x:c r="K15" s="15" t="str">
        <x:v>https://commons.wikimedia.org/wiki/File:Prainha_do_Rio_Novo_-_Jalap%C3%A3o_(1)_(53037332474).jpg</x:v>
      </x:c>
      <x:c r="L15" s="15" t="str">
        <x:v>Alexandre Marino</x:v>
      </x:c>
      <x:c r="M15" s="15" t="str">
        <x:v>CC BY-SA 2.0</x:v>
      </x:c>
      <x:c r="N15" s="15" t="str">
        <x:v>https://jalapaotocantins.to.gov.br/</x:v>
      </x:c>
      <x:c r="O15" s="15" t="str"/>
      <x:c r="P15" s="15" t="str">
        <x:v>https://www.google.com/maps/search/?api=1&amp;query=Prainha+do+Rio+Novo%2C+Mateiros%2C+Tocantins%2C+Brasil</x:v>
      </x:c>
      <x:c r="Q15" s="15" t="str">
        <x:v>https://www.google.com/search?tbm=isch&amp;q=Prainha+do+Rio+Novo%2C+Mateiros%2C+Tocantins%2C+Brasil</x:v>
      </x:c>
      <x:c r="R15" s="15" t="str">
        <x:v>confirmada_por_nome</x:v>
      </x:c>
      <x:c r="S15" s="15" t="str">
        <x:v>Imagem herdada do catálogo anterior; conferir novamente os metadados do Wikimedia antes de publicação definitiva.</x:v>
      </x:c>
      <x:c r="T15" s="15" t="str">
        <x:v>prainha-rio-novo</x:v>
      </x:c>
      <x:c r="U15" s="15" t="str">
        <x:v>documentado_por_fonte</x:v>
      </x:c>
    </x:row>
    <x:row r="16" ht="22" customHeight="1">
      <x:c r="A16" s="15" t="str">
        <x:v>15</x:v>
      </x:c>
      <x:c r="B16" s="15" t="str">
        <x:v>Cachoeira da Velha</x:v>
      </x:c>
      <x:c r="C16" s="15" t="str">
        <x:v>Cachoeira da Velha</x:v>
      </x:c>
      <x:c r="D16" s="15" t="str">
        <x:v>Cachoeira</x:v>
      </x:c>
      <x:c r="E16" s="15" t="str">
        <x:v>Jalapão</x:v>
      </x:c>
      <x:c r="F16" s="15" t="str">
        <x:v>Encantos do Jalapão</x:v>
      </x:c>
      <x:c r="G16" s="15" t="str">
        <x:v>Mateiros</x:v>
      </x:c>
      <x:c r="H16" s="15" t="str">
        <x:v>corroborado</x:v>
      </x:c>
      <x:c r="I16" s="15" t="str">
        <x:v>foto_licenciada</x:v>
      </x:c>
      <x:c r="J16" s="15" t="str">
        <x:v>https://commons.wikimedia.org/wiki/Special:FilePath/Cachoeira_da_Velha_-_parque_estadual_do_jalap%C3%A3o.jpg?width=960</x:v>
      </x:c>
      <x:c r="K16" s="15" t="str">
        <x:v>https://commons.wikimedia.org/wiki/File:Cachoeira_da_Velha_-_parque_estadual_do_jalap%C3%A3o.jpg</x:v>
      </x:c>
      <x:c r="L16" s="15" t="str">
        <x:v>Filipe Gonzaga Ferreira</x:v>
      </x:c>
      <x:c r="M16" s="15" t="str">
        <x:v>CC BY-SA 3.0</x:v>
      </x:c>
      <x:c r="N16" s="15" t="str">
        <x:v>https://jalapaotocantins.to.gov.br/</x:v>
      </x:c>
      <x:c r="O16" s="15" t="str"/>
      <x:c r="P16" s="15" t="str">
        <x:v>https://www.google.com/maps/search/?api=1&amp;query=Cachoeira+da+Velha%2C+Mateiros%2C+Tocantins%2C+Brasil</x:v>
      </x:c>
      <x:c r="Q16" s="15" t="str">
        <x:v>https://www.google.com/search?tbm=isch&amp;q=Cachoeira+da+Velha%2C+Mateiros%2C+Tocantins%2C+Brasil</x:v>
      </x:c>
      <x:c r="R16" s="15" t="str">
        <x:v>confirmada_por_nome</x:v>
      </x:c>
      <x:c r="S16" s="15" t="str">
        <x:v>Imagem herdada do catálogo anterior; conferir novamente os metadados do Wikimedia antes de publicação definitiva.</x:v>
      </x:c>
      <x:c r="T16" s="15" t="str">
        <x:v>cachoeira-velha</x:v>
      </x:c>
      <x:c r="U16" s="15" t="str">
        <x:v>documentado_por_fonte</x:v>
      </x:c>
    </x:row>
    <x:row r="17" ht="22" customHeight="1">
      <x:c r="A17" s="15" t="str">
        <x:v>16</x:v>
      </x:c>
      <x:c r="B17" s="15" t="str">
        <x:v>Dunas</x:v>
      </x:c>
      <x:c r="C17" s="15" t="str">
        <x:v>Dunas do Jalapão</x:v>
      </x:c>
      <x:c r="D17" s="15" t="str">
        <x:v>Dunas</x:v>
      </x:c>
      <x:c r="E17" s="15" t="str">
        <x:v>Jalapão</x:v>
      </x:c>
      <x:c r="F17" s="15" t="str">
        <x:v>Encantos do Jalapão</x:v>
      </x:c>
      <x:c r="G17" s="15" t="str">
        <x:v>Mateiros</x:v>
      </x:c>
      <x:c r="H17" s="15" t="str">
        <x:v>corroborado</x:v>
      </x:c>
      <x:c r="I17" s="15" t="str">
        <x:v>foto_licenciada</x:v>
      </x:c>
      <x:c r="J17" s="15" t="str">
        <x:v>https://commons.wikimedia.org/wiki/Special:FilePath/Dunas_do_Jalap%C3%A3o_com_a_Serra_do_Esp%C3%ADrito_Santo.jpg?width=960</x:v>
      </x:c>
      <x:c r="K17" s="15" t="str">
        <x:v>https://commons.wikimedia.org/wiki/File:Dunas_do_Jalap%C3%A3o_com_a_Serra_do_Esp%C3%ADrito_Santo.jpg</x:v>
      </x:c>
      <x:c r="L17" s="15" t="str">
        <x:v>Amanda Santiago</x:v>
      </x:c>
      <x:c r="M17" s="15" t="str">
        <x:v>CC BY-SA 4.0</x:v>
      </x:c>
      <x:c r="N17" s="15" t="str">
        <x:v>https://jalapaotocantins.to.gov.br/</x:v>
      </x:c>
      <x:c r="O17" s="15" t="str"/>
      <x:c r="P17" s="15" t="str">
        <x:v>https://www.google.com/maps/search/?api=1&amp;query=Dunas%2C+Mateiros%2C+Tocantins%2C+Brasil</x:v>
      </x:c>
      <x:c r="Q17" s="15" t="str">
        <x:v>https://www.google.com/search?tbm=isch&amp;q=Dunas%2C+Mateiros%2C+Tocantins%2C+Brasil</x:v>
      </x:c>
      <x:c r="R17" s="15" t="str">
        <x:v>confirmada_por_nome</x:v>
      </x:c>
      <x:c r="S17" s="15" t="str">
        <x:v>Imagem herdada do catálogo anterior; conferir novamente os metadados do Wikimedia antes de publicação definitiva.</x:v>
      </x:c>
      <x:c r="T17" s="15" t="str">
        <x:v>dunas-jalapao</x:v>
      </x:c>
      <x:c r="U17" s="15" t="str">
        <x:v>documentado_por_fonte</x:v>
      </x:c>
    </x:row>
    <x:row r="18" ht="22" customHeight="1">
      <x:c r="A18" s="15" t="str">
        <x:v>17</x:v>
      </x:c>
      <x:c r="B18" s="15" t="str">
        <x:v>Serra do Espírito Santo</x:v>
      </x:c>
      <x:c r="C18" s="15" t="str">
        <x:v>Serra do Espírito Santo</x:v>
      </x:c>
      <x:c r="D18" s="15" t="str">
        <x:v>Serra/mirante</x:v>
      </x:c>
      <x:c r="E18" s="15" t="str">
        <x:v>Jalapão</x:v>
      </x:c>
      <x:c r="F18" s="15" t="str">
        <x:v>Encantos do Jalapão</x:v>
      </x:c>
      <x:c r="G18" s="15" t="str">
        <x:v>Mateiros</x:v>
      </x:c>
      <x:c r="H18" s="15" t="str">
        <x:v>corroborado</x:v>
      </x:c>
      <x:c r="I18" s="15" t="str">
        <x:v>foto_licenciada</x:v>
      </x:c>
      <x:c r="J18" s="15" t="str">
        <x:v>https://commons.wikimedia.org/wiki/Special:FilePath/Serra_do_Esp%C3%ADrito_Santo_no_Jalap%C3%A3o.jpg?width=960</x:v>
      </x:c>
      <x:c r="K18" s="15" t="str">
        <x:v>https://commons.wikimedia.org/wiki/File:Serra_do_Esp%C3%ADrito_Santo_no_Jalap%C3%A3o.jpg</x:v>
      </x:c>
      <x:c r="L18" s="15" t="str">
        <x:v>Rodrigo José Fernandes</x:v>
      </x:c>
      <x:c r="M18" s="15" t="str">
        <x:v>CC BY-SA 4.0</x:v>
      </x:c>
      <x:c r="N18" s="15" t="str">
        <x:v>https://central3.to.gov.br/arquivo/572017/</x:v>
      </x:c>
      <x:c r="O18" s="15" t="str"/>
      <x:c r="P18" s="15" t="str">
        <x:v>https://www.google.com/maps/search/?api=1&amp;query=Serra+do+Esp%C3%ADrito+Santo%2C+Mateiros%2C+Tocantins%2C+Brasil</x:v>
      </x:c>
      <x:c r="Q18" s="15" t="str">
        <x:v>https://www.google.com/search?tbm=isch&amp;q=Serra+do+Esp%C3%ADrito+Santo%2C+Mateiros%2C+Tocantins%2C+Brasil</x:v>
      </x:c>
      <x:c r="R18" s="15" t="str">
        <x:v>confirmada_por_nome</x:v>
      </x:c>
      <x:c r="S18" s="15" t="str">
        <x:v>Imagem herdada do catálogo anterior; conferir novamente os metadados do Wikimedia antes de publicação definitiva.</x:v>
      </x:c>
      <x:c r="T18" s="15" t="str">
        <x:v>serra-espirito-santo</x:v>
      </x:c>
      <x:c r="U18" s="15" t="str">
        <x:v>documentado_por_fonte</x:v>
      </x:c>
    </x:row>
    <x:row r="19" ht="22" customHeight="1">
      <x:c r="A19" s="15" t="str">
        <x:v>18</x:v>
      </x:c>
      <x:c r="B19" s="15" t="str">
        <x:v>Povoado do Mumbuca</x:v>
      </x:c>
      <x:c r="C19" s="15" t="str">
        <x:v>Comunidade Quilombola Mumbuca</x:v>
      </x:c>
      <x:c r="D19" s="15" t="str">
        <x:v>Turismo comunitário</x:v>
      </x:c>
      <x:c r="E19" s="15" t="str">
        <x:v>Jalapão</x:v>
      </x:c>
      <x:c r="F19" s="15" t="str">
        <x:v>Encantos do Jalapão</x:v>
      </x:c>
      <x:c r="G19" s="15" t="str">
        <x:v>Mateiros</x:v>
      </x:c>
      <x:c r="H19" s="15" t="str">
        <x:v>corroborado</x:v>
      </x:c>
      <x:c r="I19" s="15" t="str">
        <x:v>foto_licenciada</x:v>
      </x:c>
      <x:c r="J19" s="15" t="str">
        <x:v>https://commons.wikimedia.org/wiki/Special:FilePath/Comunidade_quilombola_de_Mumbuca_-_Mateiros_TO_(1)_(53036616572).jpg?width=960</x:v>
      </x:c>
      <x:c r="K19" s="15" t="str">
        <x:v>https://commons.wikimedia.org/wiki/File:Comunidade_quilombola_de_Mumbuca_-_Mateiros_TO_(1)_(53036616572).jpg</x:v>
      </x:c>
      <x:c r="L19" s="15" t="str">
        <x:v>Alexandre Marino</x:v>
      </x:c>
      <x:c r="M19" s="15" t="str">
        <x:v>CC BY-SA 2.0</x:v>
      </x:c>
      <x:c r="N19" s="15" t="str">
        <x:v>https://www.gov.br/turismo/pt-br/assuntos/ultimas-noticia/jalapao-e-capim-dourado-tesouros-naturais-do-coracao-do-brasil</x:v>
      </x:c>
      <x:c r="O19" s="15" t="str"/>
      <x:c r="P19" s="15" t="str">
        <x:v>https://www.google.com/maps/search/?api=1&amp;query=Povoado+do+Mumbuca%2C+Mateiros%2C+Tocantins%2C+Brasil</x:v>
      </x:c>
      <x:c r="Q19" s="15" t="str">
        <x:v>https://www.google.com/search?tbm=isch&amp;q=Povoado+do+Mumbuca%2C+Mateiros%2C+Tocantins%2C+Brasil</x:v>
      </x:c>
      <x:c r="R19" s="15" t="str">
        <x:v>confirmada_por_nome</x:v>
      </x:c>
      <x:c r="S19" s="15" t="str">
        <x:v>Imagem herdada do catálogo anterior; conferir novamente os metadados do Wikimedia antes de publicação definitiva.</x:v>
      </x:c>
      <x:c r="T19" s="15" t="str">
        <x:v>quilombo-mumbuca</x:v>
      </x:c>
      <x:c r="U19" s="15" t="str">
        <x:v>documentado_por_fonte</x:v>
      </x:c>
    </x:row>
    <x:row r="20" ht="22" customHeight="1">
      <x:c r="A20" s="15" t="str">
        <x:v>19</x:v>
      </x:c>
      <x:c r="B20" s="15" t="str">
        <x:v>Cachoeira da Formiga</x:v>
      </x:c>
      <x:c r="C20" s="15" t="str">
        <x:v>Cachoeira do Formiga</x:v>
      </x:c>
      <x:c r="D20" s="15" t="str">
        <x:v>Cachoeira</x:v>
      </x:c>
      <x:c r="E20" s="15" t="str">
        <x:v>Jalapão</x:v>
      </x:c>
      <x:c r="F20" s="15" t="str">
        <x:v>Encantos do Jalapão</x:v>
      </x:c>
      <x:c r="G20" s="15" t="str">
        <x:v>Mateiros</x:v>
      </x:c>
      <x:c r="H20" s="15" t="str">
        <x:v>corroborado</x:v>
      </x:c>
      <x:c r="I20" s="15" t="str">
        <x:v>foto_licenciada</x:v>
      </x:c>
      <x:c r="J20" s="15" t="str">
        <x:v>https://commons.wikimedia.org/wiki/Special:FilePath/Cachoeira_do_Formiga_-_Mateiros_TO_(2)_(53037504040).jpg?width=960</x:v>
      </x:c>
      <x:c r="K20" s="15" t="str">
        <x:v>https://commons.wikimedia.org/wiki/File:Cachoeira_do_Formiga_-_Mateiros_TO_(2)_(53037504040).jpg</x:v>
      </x:c>
      <x:c r="L20" s="15" t="str">
        <x:v>Alexandre Marino</x:v>
      </x:c>
      <x:c r="M20" s="15" t="str">
        <x:v>CC BY-SA 2.0</x:v>
      </x:c>
      <x:c r="N20" s="15" t="str">
        <x:v>https://jalapaotocantins.to.gov.br/</x:v>
      </x:c>
      <x:c r="O20" s="15" t="str"/>
      <x:c r="P20" s="15" t="str">
        <x:v>https://www.google.com/maps/search/?api=1&amp;query=Cachoeira+da+Formiga%2C+Mateiros%2C+Tocantins%2C+Brasil</x:v>
      </x:c>
      <x:c r="Q20" s="15" t="str">
        <x:v>https://www.google.com/search?tbm=isch&amp;q=Cachoeira+da+Formiga%2C+Mateiros%2C+Tocantins%2C+Brasil</x:v>
      </x:c>
      <x:c r="R20" s="15" t="str">
        <x:v>confirmada_por_nome</x:v>
      </x:c>
      <x:c r="S20" s="15" t="str">
        <x:v>Imagem herdada do catálogo anterior; conferir novamente os metadados do Wikimedia antes de publicação definitiva.</x:v>
      </x:c>
      <x:c r="T20" s="15" t="str">
        <x:v>cachoeira-formiga</x:v>
      </x:c>
      <x:c r="U20" s="15" t="str">
        <x:v>documentado_por_fonte</x:v>
      </x:c>
    </x:row>
    <x:row r="21" ht="22" customHeight="1">
      <x:c r="A21" s="15" t="str">
        <x:v>20</x:v>
      </x:c>
      <x:c r="B21" s="15" t="str">
        <x:v>Cachoeira do Prata</x:v>
      </x:c>
      <x:c r="C21" s="15" t="str">
        <x:v>Cachoeira do Prata</x:v>
      </x:c>
      <x:c r="D21" s="15" t="str">
        <x:v>Cachoeira</x:v>
      </x:c>
      <x:c r="E21" s="15" t="str">
        <x:v>Jalapão</x:v>
      </x:c>
      <x:c r="F21" s="15" t="str">
        <x:v>A confirmar</x:v>
      </x:c>
      <x:c r="G21" s="15" t="str"/>
      <x:c r="H21" s="15" t="str">
        <x:v>pendente</x:v>
      </x:c>
      <x:c r="I21" s="15" t="str">
        <x:v>sem_foto_licenciada</x:v>
      </x:c>
      <x:c r="J21" s="15" t="str"/>
      <x:c r="K21" s="15" t="str"/>
      <x:c r="L21" s="15" t="str"/>
      <x:c r="M21" s="15" t="str"/>
      <x:c r="N21" s="15" t="str"/>
      <x:c r="O21" s="15" t="str"/>
      <x:c r="P21" s="15" t="str">
        <x:v>https://www.google.com/maps/search/?api=1&amp;query=Cachoeira+do+Prata%2C+Tocantins%2C+Brasil</x:v>
      </x:c>
      <x:c r="Q21" s="15" t="str">
        <x:v>https://www.google.com/search?tbm=isch&amp;q=Cachoeira+do+Prata%2C+Tocantins%2C+Brasil</x:v>
      </x:c>
      <x:c r="R21" s="15" t="str">
        <x:v>novo</x:v>
      </x:c>
      <x:c r="S21" s="15" t="str">
        <x:v>Município ainda não corroborado por fonte independente.</x:v>
      </x:c>
      <x:c r="T21" s="15" t="str">
        <x:v>cachoeira-do-prata</x:v>
      </x:c>
      <x:c r="U21" s="15" t="str">
        <x:v>somente_mapa</x:v>
      </x:c>
    </x:row>
    <x:row r="22" ht="22" customHeight="1">
      <x:c r="A22" s="15" t="str">
        <x:v>21</x:v>
      </x:c>
      <x:c r="B22" s="15" t="str">
        <x:v>Morro do Sereno</x:v>
      </x:c>
      <x:c r="C22" s="15" t="str">
        <x:v>Morro do Sereno</x:v>
      </x:c>
      <x:c r="D22" s="15" t="str">
        <x:v>Formação rochosa / mirante</x:v>
      </x:c>
      <x:c r="E22" s="15" t="str">
        <x:v>Jalapão</x:v>
      </x:c>
      <x:c r="F22" s="15" t="str">
        <x:v>A confirmar</x:v>
      </x:c>
      <x:c r="G22" s="15" t="str"/>
      <x:c r="H22" s="15" t="str">
        <x:v>pendente</x:v>
      </x:c>
      <x:c r="I22" s="15" t="str">
        <x:v>sem_foto_licenciada</x:v>
      </x:c>
      <x:c r="J22" s="15" t="str"/>
      <x:c r="K22" s="15" t="str"/>
      <x:c r="L22" s="15" t="str"/>
      <x:c r="M22" s="15" t="str"/>
      <x:c r="N22" s="15" t="str"/>
      <x:c r="O22" s="15" t="str"/>
      <x:c r="P22" s="15" t="str">
        <x:v>https://www.google.com/maps/search/?api=1&amp;query=Morro+do+Sereno%2C+Tocantins%2C+Brasil</x:v>
      </x:c>
      <x:c r="Q22" s="15" t="str">
        <x:v>https://www.google.com/search?tbm=isch&amp;q=Morro+do+Sereno%2C+Tocantins%2C+Brasil</x:v>
      </x:c>
      <x:c r="R22" s="15" t="str">
        <x:v>novo</x:v>
      </x:c>
      <x:c r="S22" s="15" t="str">
        <x:v>Município ainda não corroborado por fonte independente.</x:v>
      </x:c>
      <x:c r="T22" s="15" t="str">
        <x:v>morro-do-sereno</x:v>
      </x:c>
      <x:c r="U22" s="15" t="str">
        <x:v>somente_mapa</x:v>
      </x:c>
    </x:row>
    <x:row r="23" ht="22" customHeight="1">
      <x:c r="A23" s="15" t="str">
        <x:v>22</x:v>
      </x:c>
      <x:c r="B23" s="15" t="str">
        <x:v>Arco do Sol</x:v>
      </x:c>
      <x:c r="C23" s="15" t="str">
        <x:v>Arco do Sol</x:v>
      </x:c>
      <x:c r="D23" s="15" t="str">
        <x:v>Formação rochosa / mirante</x:v>
      </x:c>
      <x:c r="E23" s="15" t="str">
        <x:v>Serras Gerais</x:v>
      </x:c>
      <x:c r="F23" s="15" t="str">
        <x:v>Serras Gerais</x:v>
      </x:c>
      <x:c r="G23" s="15" t="str">
        <x:v>Almas</x:v>
      </x:c>
      <x:c r="H23" s="15" t="str">
        <x:v>corroborado</x:v>
      </x:c>
      <x:c r="I23" s="15" t="str">
        <x:v>galeria_institucional_uso_pendente</x:v>
      </x:c>
      <x:c r="J23" s="15" t="str"/>
      <x:c r="K23" s="15" t="str"/>
      <x:c r="L23" s="15" t="str"/>
      <x:c r="M23" s="15" t="str"/>
      <x:c r="N23" s="15" t="str">
        <x:v>https://www.almas.to.gov.br/galerias/arco-do-sol</x:v>
      </x:c>
      <x:c r="O23" s="15" t="str">
        <x:v>https://www.almas.to.gov.br/galerias/arco-do-sol</x:v>
      </x:c>
      <x:c r="P23" s="15" t="str">
        <x:v>https://www.google.com/maps/search/?api=1&amp;query=Arco+do+Sol%2C+Almas%2C+Tocantins%2C+Brasil</x:v>
      </x:c>
      <x:c r="Q23" s="15" t="str">
        <x:v>https://www.google.com/search?tbm=isch&amp;q=Arco+do+Sol%2C+Almas%2C+Tocantins%2C+Brasil</x:v>
      </x:c>
      <x:c r="R23" s="15" t="str">
        <x:v>novo</x:v>
      </x:c>
      <x:c r="S23" s="15" t="str">
        <x:v>Galeria pública da prefeitura não implica licença para incorporar imagem no app.</x:v>
      </x:c>
      <x:c r="T23" s="15" t="str">
        <x:v>arco-do-sol</x:v>
      </x:c>
      <x:c r="U23" s="15" t="str">
        <x:v>documentado_por_fonte</x:v>
      </x:c>
    </x:row>
    <x:row r="24" ht="22" customHeight="1">
      <x:c r="A24" s="15" t="str">
        <x:v>23</x:v>
      </x:c>
      <x:c r="B24" s="15" t="str">
        <x:v>Cachoeira do Pau D'arco</x:v>
      </x:c>
      <x:c r="C24" s="15" t="str">
        <x:v>Cachoeira do Pau D'arco</x:v>
      </x:c>
      <x:c r="D24" s="15" t="str">
        <x:v>Cachoeira</x:v>
      </x:c>
      <x:c r="E24" s="15" t="str">
        <x:v>Serras Gerais</x:v>
      </x:c>
      <x:c r="F24" s="15" t="str">
        <x:v>A confirmar</x:v>
      </x:c>
      <x:c r="G24" s="15" t="str"/>
      <x:c r="H24" s="15" t="str">
        <x:v>pendente</x:v>
      </x:c>
      <x:c r="I24" s="15" t="str">
        <x:v>sem_foto_licenciada</x:v>
      </x:c>
      <x:c r="J24" s="15" t="str"/>
      <x:c r="K24" s="15" t="str"/>
      <x:c r="L24" s="15" t="str"/>
      <x:c r="M24" s="15" t="str"/>
      <x:c r="N24" s="15" t="str"/>
      <x:c r="O24" s="15" t="str"/>
      <x:c r="P24" s="15" t="str">
        <x:v>https://www.google.com/maps/search/?api=1&amp;query=Cachoeira+do+Pau+D%27arco%2C+Tocantins%2C+Brasil</x:v>
      </x:c>
      <x:c r="Q24" s="15" t="str">
        <x:v>https://www.google.com/search?tbm=isch&amp;q=Cachoeira+do+Pau+D%27arco%2C+Tocantins%2C+Brasil</x:v>
      </x:c>
      <x:c r="R24" s="15" t="str">
        <x:v>novo</x:v>
      </x:c>
      <x:c r="S24" s="15" t="str">
        <x:v>Município ainda não corroborado por fonte independente.</x:v>
      </x:c>
      <x:c r="T24" s="15" t="str">
        <x:v>cachoeira-do-pau-d-arco</x:v>
      </x:c>
      <x:c r="U24" s="15" t="str">
        <x:v>somente_mapa</x:v>
      </x:c>
    </x:row>
    <x:row r="25" ht="22" customHeight="1">
      <x:c r="A25" s="15" t="str">
        <x:v>24</x:v>
      </x:c>
      <x:c r="B25" s="15" t="str">
        <x:v>Lagoa do Japonês</x:v>
      </x:c>
      <x:c r="C25" s="15" t="str">
        <x:v>Lagoa do Japonês</x:v>
      </x:c>
      <x:c r="D25" s="15" t="str">
        <x:v>Lagoa</x:v>
      </x:c>
      <x:c r="E25" s="15" t="str">
        <x:v>Serras Gerais</x:v>
      </x:c>
      <x:c r="F25" s="15" t="str">
        <x:v>Serras Gerais</x:v>
      </x:c>
      <x:c r="G25" s="15" t="str">
        <x:v>Pindorama do Tocantins</x:v>
      </x:c>
      <x:c r="H25" s="15" t="str">
        <x:v>corroborado</x:v>
      </x:c>
      <x:c r="I25" s="15" t="str">
        <x:v>foto_licenciada</x:v>
      </x:c>
      <x:c r="J25" s="15" t="str">
        <x:v>https://commons.wikimedia.org/wiki/Special:FilePath/Esta%C3%A7%C3%A3o_Ecologica_Serra_Geral_do_Tocantins_-_Alessandro_Guimar%C3%A3es_Pereira_(01).jpg?width=960</x:v>
      </x:c>
      <x:c r="K25" s="15" t="str">
        <x:v>https://commons.wikimedia.org/wiki/File:Esta%C3%A7%C3%A3o_Ecologica_Serra_Geral_do_Tocantins_-_Alessandro_Guimar%C3%A3es_Pereira_(01).jpg</x:v>
      </x:c>
      <x:c r="L25" s="15" t="str">
        <x:v>Alessandro Guimarães Pereira (Aleper1979)</x:v>
      </x:c>
      <x:c r="M25" s="15" t="str">
        <x:v>CC BY-SA 4.0</x:v>
      </x:c>
      <x:c r="N25" s="15" t="str">
        <x:v>https://central3.to.gov.br/arquivo/572017/</x:v>
      </x:c>
      <x:c r="O25" s="15" t="str"/>
      <x:c r="P25" s="15" t="str">
        <x:v>https://www.google.com/maps/search/?api=1&amp;query=Lagoa+do+Japon%C3%AAs%2C+Pindorama+do+Tocantins%2C+Tocantins%2C+Brasil</x:v>
      </x:c>
      <x:c r="Q25" s="15" t="str">
        <x:v>https://www.google.com/search?tbm=isch&amp;q=Lagoa+do+Japon%C3%AAs%2C+Pindorama+do+Tocantins%2C+Tocantins%2C+Brasil</x:v>
      </x:c>
      <x:c r="R25" s="15" t="str">
        <x:v>confirmada_por_nome</x:v>
      </x:c>
      <x:c r="S25" s="15" t="str">
        <x:v>Imagem herdada do catálogo anterior; conferir novamente os metadados do Wikimedia antes de publicação definitiva.</x:v>
      </x:c>
      <x:c r="T25" s="15" t="str">
        <x:v>lagoa-japones</x:v>
      </x:c>
      <x:c r="U25" s="15" t="str">
        <x:v>documentado_por_fonte</x:v>
      </x:c>
    </x:row>
    <x:row r="26" ht="22" customHeight="1">
      <x:c r="A26" s="15" t="str">
        <x:v>25</x:v>
      </x:c>
      <x:c r="B26" s="15" t="str">
        <x:v>Cachoeira da Lagoa</x:v>
      </x:c>
      <x:c r="C26" s="15" t="str">
        <x:v>Cachoeira da Lagoa</x:v>
      </x:c>
      <x:c r="D26" s="15" t="str">
        <x:v>Cachoeira</x:v>
      </x:c>
      <x:c r="E26" s="15" t="str">
        <x:v>Serras Gerais</x:v>
      </x:c>
      <x:c r="F26" s="15" t="str">
        <x:v>A confirmar</x:v>
      </x:c>
      <x:c r="G26" s="15" t="str"/>
      <x:c r="H26" s="15" t="str">
        <x:v>pendente</x:v>
      </x:c>
      <x:c r="I26" s="15" t="str">
        <x:v>sem_foto_licenciada</x:v>
      </x:c>
      <x:c r="J26" s="15" t="str"/>
      <x:c r="K26" s="15" t="str"/>
      <x:c r="L26" s="15" t="str"/>
      <x:c r="M26" s="15" t="str"/>
      <x:c r="N26" s="15" t="str"/>
      <x:c r="O26" s="15" t="str"/>
      <x:c r="P26" s="15" t="str">
        <x:v>https://www.google.com/maps/search/?api=1&amp;query=Cachoeira+da+Lagoa%2C+Tocantins%2C+Brasil</x:v>
      </x:c>
      <x:c r="Q26" s="15" t="str">
        <x:v>https://www.google.com/search?tbm=isch&amp;q=Cachoeira+da+Lagoa%2C+Tocantins%2C+Brasil</x:v>
      </x:c>
      <x:c r="R26" s="15" t="str">
        <x:v>novo</x:v>
      </x:c>
      <x:c r="S26" s="15" t="str">
        <x:v>Município ainda não corroborado por fonte independente.</x:v>
      </x:c>
      <x:c r="T26" s="15" t="str">
        <x:v>cachoeira-da-lagoa</x:v>
      </x:c>
      <x:c r="U26" s="15" t="str">
        <x:v>somente_mapa</x:v>
      </x:c>
    </x:row>
    <x:row r="27" ht="22" customHeight="1">
      <x:c r="A27" s="15" t="str">
        <x:v>26</x:v>
      </x:c>
      <x:c r="B27" s="15" t="str">
        <x:v>Cachoeira da Usina</x:v>
      </x:c>
      <x:c r="C27" s="15" t="str">
        <x:v>Cachoeira da Usina</x:v>
      </x:c>
      <x:c r="D27" s="15" t="str">
        <x:v>Cachoeira</x:v>
      </x:c>
      <x:c r="E27" s="15" t="str">
        <x:v>Serras Gerais</x:v>
      </x:c>
      <x:c r="F27" s="15" t="str">
        <x:v>A confirmar</x:v>
      </x:c>
      <x:c r="G27" s="15" t="str"/>
      <x:c r="H27" s="15" t="str">
        <x:v>pendente</x:v>
      </x:c>
      <x:c r="I27" s="15" t="str">
        <x:v>sem_foto_licenciada</x:v>
      </x:c>
      <x:c r="J27" s="15" t="str"/>
      <x:c r="K27" s="15" t="str"/>
      <x:c r="L27" s="15" t="str"/>
      <x:c r="M27" s="15" t="str"/>
      <x:c r="N27" s="15" t="str"/>
      <x:c r="O27" s="15" t="str"/>
      <x:c r="P27" s="15" t="str">
        <x:v>https://www.google.com/maps/search/?api=1&amp;query=Cachoeira+da+Usina%2C+Tocantins%2C+Brasil</x:v>
      </x:c>
      <x:c r="Q27" s="15" t="str">
        <x:v>https://www.google.com/search?tbm=isch&amp;q=Cachoeira+da+Usina%2C+Tocantins%2C+Brasil</x:v>
      </x:c>
      <x:c r="R27" s="15" t="str">
        <x:v>novo</x:v>
      </x:c>
      <x:c r="S27" s="15" t="str">
        <x:v>Município ainda não corroborado por fonte independente.</x:v>
      </x:c>
      <x:c r="T27" s="15" t="str">
        <x:v>cachoeira-da-usina</x:v>
      </x:c>
      <x:c r="U27" s="15" t="str">
        <x:v>somente_mapa</x:v>
      </x:c>
    </x:row>
    <x:row r="28" ht="22" customHeight="1">
      <x:c r="A28" s="15" t="str">
        <x:v>27</x:v>
      </x:c>
      <x:c r="B28" s="15" t="str">
        <x:v>Cachoeira do Urubu Rei</x:v>
      </x:c>
      <x:c r="C28" s="15" t="str">
        <x:v>Cachoeira do Urubu Rei</x:v>
      </x:c>
      <x:c r="D28" s="15" t="str">
        <x:v>Cachoeira</x:v>
      </x:c>
      <x:c r="E28" s="15" t="str">
        <x:v>Serras Gerais</x:v>
      </x:c>
      <x:c r="F28" s="15" t="str">
        <x:v>Serras Gerais</x:v>
      </x:c>
      <x:c r="G28" s="15" t="str">
        <x:v>Almas</x:v>
      </x:c>
      <x:c r="H28" s="15" t="str">
        <x:v>corroborado</x:v>
      </x:c>
      <x:c r="I28" s="15" t="str">
        <x:v>galeria_institucional_uso_pendente</x:v>
      </x:c>
      <x:c r="J28" s="15" t="str"/>
      <x:c r="K28" s="15" t="str"/>
      <x:c r="L28" s="15" t="str"/>
      <x:c r="M28" s="15" t="str"/>
      <x:c r="N28" s="15" t="str">
        <x:v>https://www.almas.to.gov.br/galerias/cachoeira-do-urubu-rei</x:v>
      </x:c>
      <x:c r="O28" s="15" t="str">
        <x:v>https://www.almas.to.gov.br/galerias/cachoeira-do-urubu-rei</x:v>
      </x:c>
      <x:c r="P28" s="15" t="str">
        <x:v>https://www.google.com/maps/search/?api=1&amp;query=Cachoeira+do+Urubu+Rei%2C+Almas%2C+Tocantins%2C+Brasil</x:v>
      </x:c>
      <x:c r="Q28" s="15" t="str">
        <x:v>https://www.google.com/search?tbm=isch&amp;q=Cachoeira+do+Urubu+Rei%2C+Almas%2C+Tocantins%2C+Brasil</x:v>
      </x:c>
      <x:c r="R28" s="15" t="str">
        <x:v>novo</x:v>
      </x:c>
      <x:c r="S28" s="15" t="str">
        <x:v>ATENÇÃO: Wikimedia Commons contém outra Cachoeira do Urubu Rei em Cavalcante (GO), que não pode ser usada para este POI. Galeria pública da prefeitura não implica licença para incorporar imagem no app.</x:v>
      </x:c>
      <x:c r="T28" s="15" t="str">
        <x:v>cachoeira-do-urubu-rei</x:v>
      </x:c>
      <x:c r="U28" s="15" t="str">
        <x:v>documentado_por_fonte</x:v>
      </x:c>
    </x:row>
    <x:row r="29" ht="22" customHeight="1">
      <x:c r="A29" s="15" t="str">
        <x:v>28</x:v>
      </x:c>
      <x:c r="B29" s="15" t="str">
        <x:v>Cachoeira do Pião</x:v>
      </x:c>
      <x:c r="C29" s="15" t="str">
        <x:v>Cachoeira do Pião</x:v>
      </x:c>
      <x:c r="D29" s="15" t="str">
        <x:v>Cachoeira</x:v>
      </x:c>
      <x:c r="E29" s="15" t="str">
        <x:v>Serras Gerais</x:v>
      </x:c>
      <x:c r="F29" s="15" t="str">
        <x:v>A confirmar</x:v>
      </x:c>
      <x:c r="G29" s="15" t="str"/>
      <x:c r="H29" s="15" t="str">
        <x:v>pendente</x:v>
      </x:c>
      <x:c r="I29" s="15" t="str">
        <x:v>sem_foto_licenciada</x:v>
      </x:c>
      <x:c r="J29" s="15" t="str"/>
      <x:c r="K29" s="15" t="str"/>
      <x:c r="L29" s="15" t="str"/>
      <x:c r="M29" s="15" t="str"/>
      <x:c r="N29" s="15" t="str"/>
      <x:c r="O29" s="15" t="str"/>
      <x:c r="P29" s="15" t="str">
        <x:v>https://www.google.com/maps/search/?api=1&amp;query=Cachoeira+do+Pi%C3%A3o%2C+Tocantins%2C+Brasil</x:v>
      </x:c>
      <x:c r="Q29" s="15" t="str">
        <x:v>https://www.google.com/search?tbm=isch&amp;q=Cachoeira+do+Pi%C3%A3o%2C+Tocantins%2C+Brasil</x:v>
      </x:c>
      <x:c r="R29" s="15" t="str">
        <x:v>novo</x:v>
      </x:c>
      <x:c r="S29" s="15" t="str">
        <x:v>Município ainda não corroborado por fonte independente.</x:v>
      </x:c>
      <x:c r="T29" s="15" t="str">
        <x:v>cachoeira-do-piao</x:v>
      </x:c>
      <x:c r="U29" s="15" t="str">
        <x:v>somente_mapa</x:v>
      </x:c>
    </x:row>
    <x:row r="30" ht="22" customHeight="1">
      <x:c r="A30" s="15" t="str">
        <x:v>29</x:v>
      </x:c>
      <x:c r="B30" s="15" t="str">
        <x:v>Cachoeira do Sobrado</x:v>
      </x:c>
      <x:c r="C30" s="15" t="str">
        <x:v>Cachoeira do Sobrado</x:v>
      </x:c>
      <x:c r="D30" s="15" t="str">
        <x:v>Cachoeira</x:v>
      </x:c>
      <x:c r="E30" s="15" t="str">
        <x:v>Serras Gerais</x:v>
      </x:c>
      <x:c r="F30" s="15" t="str">
        <x:v>A confirmar</x:v>
      </x:c>
      <x:c r="G30" s="15" t="str"/>
      <x:c r="H30" s="15" t="str">
        <x:v>pendente</x:v>
      </x:c>
      <x:c r="I30" s="15" t="str">
        <x:v>sem_foto_licenciada</x:v>
      </x:c>
      <x:c r="J30" s="15" t="str"/>
      <x:c r="K30" s="15" t="str"/>
      <x:c r="L30" s="15" t="str"/>
      <x:c r="M30" s="15" t="str"/>
      <x:c r="N30" s="15" t="str"/>
      <x:c r="O30" s="15" t="str"/>
      <x:c r="P30" s="15" t="str">
        <x:v>https://www.google.com/maps/search/?api=1&amp;query=Cachoeira+do+Sobrado%2C+Tocantins%2C+Brasil</x:v>
      </x:c>
      <x:c r="Q30" s="15" t="str">
        <x:v>https://www.google.com/search?tbm=isch&amp;q=Cachoeira+do+Sobrado%2C+Tocantins%2C+Brasil</x:v>
      </x:c>
      <x:c r="R30" s="15" t="str">
        <x:v>novo</x:v>
      </x:c>
      <x:c r="S30" s="15" t="str">
        <x:v>Município ainda não corroborado por fonte independente.</x:v>
      </x:c>
      <x:c r="T30" s="15" t="str">
        <x:v>cachoeira-do-sobrado</x:v>
      </x:c>
      <x:c r="U30" s="15" t="str">
        <x:v>somente_mapa</x:v>
      </x:c>
    </x:row>
    <x:row r="31" ht="22" customHeight="1">
      <x:c r="A31" s="15" t="str">
        <x:v>30</x:v>
      </x:c>
      <x:c r="B31" s="15" t="str">
        <x:v>Cachoeira da Cortina</x:v>
      </x:c>
      <x:c r="C31" s="15" t="str">
        <x:v>Cachoeira da Cortina</x:v>
      </x:c>
      <x:c r="D31" s="15" t="str">
        <x:v>Cachoeira</x:v>
      </x:c>
      <x:c r="E31" s="15" t="str">
        <x:v>Serras Gerais</x:v>
      </x:c>
      <x:c r="F31" s="15" t="str">
        <x:v>Serras Gerais</x:v>
      </x:c>
      <x:c r="G31" s="15" t="str">
        <x:v>Almas</x:v>
      </x:c>
      <x:c r="H31" s="15" t="str">
        <x:v>corroborado</x:v>
      </x:c>
      <x:c r="I31" s="15" t="str">
        <x:v>galeria_institucional_uso_pendente</x:v>
      </x:c>
      <x:c r="J31" s="15" t="str"/>
      <x:c r="K31" s="15" t="str"/>
      <x:c r="L31" s="15" t="str"/>
      <x:c r="M31" s="15" t="str"/>
      <x:c r="N31" s="15" t="str">
        <x:v>https://www.almas.to.gov.br/galerias/cachoeira-da-cortina</x:v>
      </x:c>
      <x:c r="O31" s="15" t="str">
        <x:v>https://www.almas.to.gov.br/galerias/cachoeira-da-cortina</x:v>
      </x:c>
      <x:c r="P31" s="15" t="str">
        <x:v>https://www.google.com/maps/search/?api=1&amp;query=Cachoeira+da+Cortina%2C+Almas%2C+Tocantins%2C+Brasil</x:v>
      </x:c>
      <x:c r="Q31" s="15" t="str">
        <x:v>https://www.google.com/search?tbm=isch&amp;q=Cachoeira+da+Cortina%2C+Almas%2C+Tocantins%2C+Brasil</x:v>
      </x:c>
      <x:c r="R31" s="15" t="str">
        <x:v>novo</x:v>
      </x:c>
      <x:c r="S31" s="15" t="str">
        <x:v>Galeria pública da prefeitura não implica licença para incorporar imagem no app.</x:v>
      </x:c>
      <x:c r="T31" s="15" t="str">
        <x:v>cachoeira-da-cortina</x:v>
      </x:c>
      <x:c r="U31" s="15" t="str">
        <x:v>documentado_por_fonte</x:v>
      </x:c>
    </x:row>
    <x:row r="32" ht="22" customHeight="1">
      <x:c r="A32" s="15" t="str">
        <x:v>31</x:v>
      </x:c>
      <x:c r="B32" s="15" t="str">
        <x:v>Cachoeira dos Pelados</x:v>
      </x:c>
      <x:c r="C32" s="15" t="str">
        <x:v>Cachoeira dos Pelados</x:v>
      </x:c>
      <x:c r="D32" s="15" t="str">
        <x:v>Cachoeira</x:v>
      </x:c>
      <x:c r="E32" s="15" t="str">
        <x:v>Serras Gerais</x:v>
      </x:c>
      <x:c r="F32" s="15" t="str">
        <x:v>Serras Gerais</x:v>
      </x:c>
      <x:c r="G32" s="15" t="str">
        <x:v>Almas</x:v>
      </x:c>
      <x:c r="H32" s="15" t="str">
        <x:v>corroborado</x:v>
      </x:c>
      <x:c r="I32" s="15" t="str">
        <x:v>sem_foto_licenciada</x:v>
      </x:c>
      <x:c r="J32" s="15" t="str"/>
      <x:c r="K32" s="15" t="str"/>
      <x:c r="L32" s="15" t="str"/>
      <x:c r="M32" s="15" t="str"/>
      <x:c r="N32" s="15" t="str">
        <x:v>https://www.viagensecaminhos.com/serras-gerais-tocantins/</x:v>
      </x:c>
      <x:c r="O32" s="15" t="str"/>
      <x:c r="P32" s="15" t="str">
        <x:v>https://www.google.com/maps/search/?api=1&amp;query=Cachoeira+dos+Pelados%2C+Almas%2C+Tocantins%2C+Brasil</x:v>
      </x:c>
      <x:c r="Q32" s="15" t="str">
        <x:v>https://www.google.com/search?tbm=isch&amp;q=Cachoeira+dos+Pelados%2C+Almas%2C+Tocantins%2C+Brasil</x:v>
      </x:c>
      <x:c r="R32" s="15" t="str">
        <x:v>novo</x:v>
      </x:c>
      <x:c r="S32" s="15" t="str"/>
      <x:c r="T32" s="15" t="str">
        <x:v>cachoeira-dos-pelados</x:v>
      </x:c>
      <x:c r="U32" s="15" t="str">
        <x:v>documentado_por_fonte</x:v>
      </x:c>
    </x:row>
    <x:row r="33" ht="22" customHeight="1">
      <x:c r="A33" s="15" t="str">
        <x:v>32</x:v>
      </x:c>
      <x:c r="B33" s="15" t="str">
        <x:v>Cidade de Pedra</x:v>
      </x:c>
      <x:c r="C33" s="15" t="str">
        <x:v>Cidade de Pedra</x:v>
      </x:c>
      <x:c r="D33" s="15" t="str">
        <x:v>Formação rochosa / mirante</x:v>
      </x:c>
      <x:c r="E33" s="15" t="str">
        <x:v>Serras Gerais</x:v>
      </x:c>
      <x:c r="F33" s="15" t="str">
        <x:v>Serras Gerais</x:v>
      </x:c>
      <x:c r="G33" s="15" t="str">
        <x:v>Almas</x:v>
      </x:c>
      <x:c r="H33" s="15" t="str">
        <x:v>corroborado</x:v>
      </x:c>
      <x:c r="I33" s="15" t="str">
        <x:v>sem_foto_licenciada</x:v>
      </x:c>
      <x:c r="J33" s="15" t="str"/>
      <x:c r="K33" s="15" t="str"/>
      <x:c r="L33" s="15" t="str"/>
      <x:c r="M33" s="15" t="str"/>
      <x:c r="N33" s="15" t="str">
        <x:v>https://central3.to.gov.br/arquivo/572017/</x:v>
      </x:c>
      <x:c r="O33" s="15" t="str"/>
      <x:c r="P33" s="15" t="str">
        <x:v>https://www.google.com/maps/search/?api=1&amp;query=Cidade+de+Pedra%2C+Almas%2C+Tocantins%2C+Brasil</x:v>
      </x:c>
      <x:c r="Q33" s="15" t="str">
        <x:v>https://www.google.com/search?tbm=isch&amp;q=Cidade+de+Pedra%2C+Almas%2C+Tocantins%2C+Brasil</x:v>
      </x:c>
      <x:c r="R33" s="15" t="str">
        <x:v>novo</x:v>
      </x:c>
      <x:c r="S33" s="15" t="str"/>
      <x:c r="T33" s="15" t="str">
        <x:v>cidade-de-pedra</x:v>
      </x:c>
      <x:c r="U33" s="15" t="str">
        <x:v>documentado_por_fonte</x:v>
      </x:c>
    </x:row>
    <x:row r="34" ht="22" customHeight="1">
      <x:c r="A34" s="15" t="str">
        <x:v>33</x:v>
      </x:c>
      <x:c r="B34" s="15" t="str">
        <x:v>Cânion Encantado</x:v>
      </x:c>
      <x:c r="C34" s="15" t="str">
        <x:v>Cânion Encantado</x:v>
      </x:c>
      <x:c r="D34" s="15" t="str">
        <x:v>Cânion</x:v>
      </x:c>
      <x:c r="E34" s="15" t="str">
        <x:v>Serras Gerais</x:v>
      </x:c>
      <x:c r="F34" s="15" t="str">
        <x:v>Serras Gerais</x:v>
      </x:c>
      <x:c r="G34" s="15" t="str">
        <x:v>Almas</x:v>
      </x:c>
      <x:c r="H34" s="15" t="str">
        <x:v>corroborado</x:v>
      </x:c>
      <x:c r="I34" s="15" t="str">
        <x:v>foto_licenciada</x:v>
      </x:c>
      <x:c r="J34" s="15" t="str">
        <x:v>https://commons.wikimedia.org/wiki/Special:FilePath/Esta%C3%A7%C3%A3o_Ecologica_Serra_Geral_do_Tocantins_Jo%C3%A3o_Paulo_Marques_Dandretta_(1).jpg?width=960</x:v>
      </x:c>
      <x:c r="K34" s="15" t="str">
        <x:v>https://commons.wikimedia.org/wiki/File:Esta%C3%A7%C3%A3o_Ecologica_Serra_Geral_do_Tocantins_Jo%C3%A3o_Paulo_Marques_Dandretta_(1).jpg</x:v>
      </x:c>
      <x:c r="L34" s="15" t="str">
        <x:v>João D'Andretta</x:v>
      </x:c>
      <x:c r="M34" s="15" t="str">
        <x:v>CC BY-SA 4.0</x:v>
      </x:c>
      <x:c r="N34" s="15" t="str">
        <x:v>https://central3.to.gov.br/arquivo/572017/</x:v>
      </x:c>
      <x:c r="O34" s="15" t="str"/>
      <x:c r="P34" s="15" t="str">
        <x:v>https://www.google.com/maps/search/?api=1&amp;query=C%C3%A2nion+Encantado%2C+Almas%2C+Tocantins%2C+Brasil</x:v>
      </x:c>
      <x:c r="Q34" s="15" t="str">
        <x:v>https://www.google.com/search?tbm=isch&amp;q=C%C3%A2nion+Encantado%2C+Almas%2C+Tocantins%2C+Brasil</x:v>
      </x:c>
      <x:c r="R34" s="15" t="str">
        <x:v>confirmada_por_nome</x:v>
      </x:c>
      <x:c r="S34" s="15" t="str">
        <x:v>Imagem herdada do catálogo anterior; conferir novamente os metadados do Wikimedia antes de publicação definitiva.</x:v>
      </x:c>
      <x:c r="T34" s="15" t="str">
        <x:v>canion-encantado</x:v>
      </x:c>
      <x:c r="U34" s="15" t="str">
        <x:v>documentado_por_fonte</x:v>
      </x:c>
    </x:row>
    <x:row r="35" ht="22" customHeight="1">
      <x:c r="A35" s="15" t="str">
        <x:v>34</x:v>
      </x:c>
      <x:c r="B35" s="15" t="str">
        <x:v>Cachoeira da Fumaça</x:v>
      </x:c>
      <x:c r="C35" s="15" t="str">
        <x:v>Cachoeira da Fumaça</x:v>
      </x:c>
      <x:c r="D35" s="15" t="str">
        <x:v>Cachoeira</x:v>
      </x:c>
      <x:c r="E35" s="15" t="str">
        <x:v>Serras Gerais</x:v>
      </x:c>
      <x:c r="F35" s="15" t="str">
        <x:v>Serras Gerais</x:v>
      </x:c>
      <x:c r="G35" s="15" t="str">
        <x:v>Almas</x:v>
      </x:c>
      <x:c r="H35" s="15" t="str">
        <x:v>corroborado</x:v>
      </x:c>
      <x:c r="I35" s="15" t="str">
        <x:v>galeria_institucional_uso_pendente</x:v>
      </x:c>
      <x:c r="J35" s="15" t="str"/>
      <x:c r="K35" s="15" t="str"/>
      <x:c r="L35" s="15" t="str"/>
      <x:c r="M35" s="15" t="str"/>
      <x:c r="N35" s="15" t="str">
        <x:v>https://www.almas.to.gov.br/galerias/cachoeira-da-fumaca</x:v>
      </x:c>
      <x:c r="O35" s="15" t="str">
        <x:v>https://www.almas.to.gov.br/galerias/cachoeira-da-fumaca</x:v>
      </x:c>
      <x:c r="P35" s="15" t="str">
        <x:v>https://www.google.com/maps/search/?api=1&amp;query=Cachoeira+da+Fuma%C3%A7a%2C+Almas%2C+Tocantins%2C+Brasil</x:v>
      </x:c>
      <x:c r="Q35" s="15" t="str">
        <x:v>https://www.google.com/search?tbm=isch&amp;q=Cachoeira+da+Fuma%C3%A7a%2C+Almas%2C+Tocantins%2C+Brasil</x:v>
      </x:c>
      <x:c r="R35" s="15" t="str">
        <x:v>novo</x:v>
      </x:c>
      <x:c r="S35" s="15" t="str">
        <x:v>Galeria pública da prefeitura não implica licença para incorporar imagem no app.</x:v>
      </x:c>
      <x:c r="T35" s="15" t="str">
        <x:v>cachoeira-da-fumaca</x:v>
      </x:c>
      <x:c r="U35" s="15" t="str">
        <x:v>documentado_por_fonte</x:v>
      </x:c>
    </x:row>
    <x:row r="36" ht="22" customHeight="1">
      <x:c r="A36" s="15" t="str">
        <x:v>35</x:v>
      </x:c>
      <x:c r="B36" s="15" t="str">
        <x:v>Cachoeira do Pote</x:v>
      </x:c>
      <x:c r="C36" s="15" t="str">
        <x:v>Cachoeira do Pote</x:v>
      </x:c>
      <x:c r="D36" s="15" t="str">
        <x:v>Cachoeira</x:v>
      </x:c>
      <x:c r="E36" s="15" t="str">
        <x:v>Serras Gerais</x:v>
      </x:c>
      <x:c r="F36" s="15" t="str">
        <x:v>A confirmar</x:v>
      </x:c>
      <x:c r="G36" s="15" t="str"/>
      <x:c r="H36" s="15" t="str">
        <x:v>pendente</x:v>
      </x:c>
      <x:c r="I36" s="15" t="str">
        <x:v>sem_foto_licenciada</x:v>
      </x:c>
      <x:c r="J36" s="15" t="str"/>
      <x:c r="K36" s="15" t="str"/>
      <x:c r="L36" s="15" t="str"/>
      <x:c r="M36" s="15" t="str"/>
      <x:c r="N36" s="15" t="str"/>
      <x:c r="O36" s="15" t="str"/>
      <x:c r="P36" s="15" t="str">
        <x:v>https://www.google.com/maps/search/?api=1&amp;query=Cachoeira+do+Pote%2C+Tocantins%2C+Brasil</x:v>
      </x:c>
      <x:c r="Q36" s="15" t="str">
        <x:v>https://www.google.com/search?tbm=isch&amp;q=Cachoeira+do+Pote%2C+Tocantins%2C+Brasil</x:v>
      </x:c>
      <x:c r="R36" s="15" t="str">
        <x:v>novo</x:v>
      </x:c>
      <x:c r="S36" s="15" t="str">
        <x:v>Município ainda não corroborado por fonte independente.</x:v>
      </x:c>
      <x:c r="T36" s="15" t="str">
        <x:v>cachoeira-do-pote</x:v>
      </x:c>
      <x:c r="U36" s="15" t="str">
        <x:v>somente_mapa</x:v>
      </x:c>
    </x:row>
    <x:row r="37" ht="22" customHeight="1">
      <x:c r="A37" s="15" t="str">
        <x:v>36</x:v>
      </x:c>
      <x:c r="B37" s="15" t="str">
        <x:v>Cachoeira da Capivara</x:v>
      </x:c>
      <x:c r="C37" s="15" t="str">
        <x:v>Cachoeira da Capivara</x:v>
      </x:c>
      <x:c r="D37" s="15" t="str">
        <x:v>Cachoeira</x:v>
      </x:c>
      <x:c r="E37" s="15" t="str">
        <x:v>Serras Gerais</x:v>
      </x:c>
      <x:c r="F37" s="15" t="str">
        <x:v>Serras Gerais</x:v>
      </x:c>
      <x:c r="G37" s="15" t="str">
        <x:v>Almas</x:v>
      </x:c>
      <x:c r="H37" s="15" t="str">
        <x:v>corroborado</x:v>
      </x:c>
      <x:c r="I37" s="15" t="str">
        <x:v>galeria_institucional_uso_pendente</x:v>
      </x:c>
      <x:c r="J37" s="15" t="str"/>
      <x:c r="K37" s="15" t="str"/>
      <x:c r="L37" s="15" t="str"/>
      <x:c r="M37" s="15" t="str"/>
      <x:c r="N37" s="15" t="str">
        <x:v>https://www.almas.to.gov.br/galerias/cachoeira-da-capivara</x:v>
      </x:c>
      <x:c r="O37" s="15" t="str">
        <x:v>https://www.almas.to.gov.br/galerias/cachoeira-da-capivara</x:v>
      </x:c>
      <x:c r="P37" s="15" t="str">
        <x:v>https://www.google.com/maps/search/?api=1&amp;query=Cachoeira+da+Capivara%2C+Almas%2C+Tocantins%2C+Brasil</x:v>
      </x:c>
      <x:c r="Q37" s="15" t="str">
        <x:v>https://www.google.com/search?tbm=isch&amp;q=Cachoeira+da+Capivara%2C+Almas%2C+Tocantins%2C+Brasil</x:v>
      </x:c>
      <x:c r="R37" s="15" t="str">
        <x:v>novo</x:v>
      </x:c>
      <x:c r="S37" s="15" t="str">
        <x:v>Galeria pública da prefeitura não implica licença para incorporar imagem no app.</x:v>
      </x:c>
      <x:c r="T37" s="15" t="str">
        <x:v>cachoeira-da-capivara</x:v>
      </x:c>
      <x:c r="U37" s="15" t="str">
        <x:v>documentado_por_fonte</x:v>
      </x:c>
    </x:row>
    <x:row r="38" ht="22" customHeight="1">
      <x:c r="A38" s="15" t="str">
        <x:v>37</x:v>
      </x:c>
      <x:c r="B38" s="15" t="str">
        <x:v>Cachoeira das Três Quedas</x:v>
      </x:c>
      <x:c r="C38" s="15" t="str">
        <x:v>Cachoeira das Três Quedas</x:v>
      </x:c>
      <x:c r="D38" s="15" t="str">
        <x:v>Cachoeira</x:v>
      </x:c>
      <x:c r="E38" s="15" t="str">
        <x:v>Serras Gerais</x:v>
      </x:c>
      <x:c r="F38" s="15" t="str">
        <x:v>A confirmar</x:v>
      </x:c>
      <x:c r="G38" s="15" t="str"/>
      <x:c r="H38" s="15" t="str">
        <x:v>pendente</x:v>
      </x:c>
      <x:c r="I38" s="15" t="str">
        <x:v>sem_foto_licenciada</x:v>
      </x:c>
      <x:c r="J38" s="15" t="str"/>
      <x:c r="K38" s="15" t="str"/>
      <x:c r="L38" s="15" t="str"/>
      <x:c r="M38" s="15" t="str"/>
      <x:c r="N38" s="15" t="str"/>
      <x:c r="O38" s="15" t="str"/>
      <x:c r="P38" s="15" t="str">
        <x:v>https://www.google.com/maps/search/?api=1&amp;query=Cachoeira+das+Tr%C3%AAs+Quedas%2C+Tocantins%2C+Brasil</x:v>
      </x:c>
      <x:c r="Q38" s="15" t="str">
        <x:v>https://www.google.com/search?tbm=isch&amp;q=Cachoeira+das+Tr%C3%AAs+Quedas%2C+Tocantins%2C+Brasil</x:v>
      </x:c>
      <x:c r="R38" s="15" t="str">
        <x:v>novo</x:v>
      </x:c>
      <x:c r="S38" s="15" t="str">
        <x:v>Município ainda não corroborado por fonte independente.</x:v>
      </x:c>
      <x:c r="T38" s="15" t="str">
        <x:v>cachoeira-das-tres-quedas</x:v>
      </x:c>
      <x:c r="U38" s="15" t="str">
        <x:v>somente_mapa</x:v>
      </x:c>
    </x:row>
    <x:row r="39" ht="22" customHeight="1">
      <x:c r="A39" s="15" t="str">
        <x:v>38</x:v>
      </x:c>
      <x:c r="B39" s="15" t="str">
        <x:v>Trilha Aquática das 17 Travessias do Rio Limpo</x:v>
      </x:c>
      <x:c r="C39" s="15" t="str">
        <x:v>Trilha Aquática das 17 Travessias do Rio Limpo</x:v>
      </x:c>
      <x:c r="D39" s="15" t="str">
        <x:v>Trilha</x:v>
      </x:c>
      <x:c r="E39" s="15" t="str">
        <x:v>Serras Gerais</x:v>
      </x:c>
      <x:c r="F39" s="15" t="str">
        <x:v>A confirmar</x:v>
      </x:c>
      <x:c r="G39" s="15" t="str"/>
      <x:c r="H39" s="15" t="str">
        <x:v>pendente</x:v>
      </x:c>
      <x:c r="I39" s="15" t="str">
        <x:v>sem_foto_licenciada</x:v>
      </x:c>
      <x:c r="J39" s="15" t="str"/>
      <x:c r="K39" s="15" t="str"/>
      <x:c r="L39" s="15" t="str"/>
      <x:c r="M39" s="15" t="str"/>
      <x:c r="N39" s="15" t="str"/>
      <x:c r="O39" s="15" t="str"/>
      <x:c r="P39" s="15" t="str">
        <x:v>https://www.google.com/maps/search/?api=1&amp;query=Trilha+Aqu%C3%A1tica+das+17+Travessias+do+Rio+Limpo%2C+Tocantins%2C+Brasil</x:v>
      </x:c>
      <x:c r="Q39" s="15" t="str">
        <x:v>https://www.google.com/search?tbm=isch&amp;q=Trilha+Aqu%C3%A1tica+das+17+Travessias+do+Rio+Limpo%2C+Tocantins%2C+Brasil</x:v>
      </x:c>
      <x:c r="R39" s="15" t="str">
        <x:v>novo</x:v>
      </x:c>
      <x:c r="S39" s="15" t="str">
        <x:v>Município ainda não corroborado por fonte independente.</x:v>
      </x:c>
      <x:c r="T39" s="15" t="str">
        <x:v>trilha-aquatica-das-17-travessias-do-rio-limpo</x:v>
      </x:c>
      <x:c r="U39" s="15" t="str">
        <x:v>somente_mapa</x:v>
      </x:c>
    </x:row>
    <x:row r="40" ht="22" customHeight="1">
      <x:c r="A40" s="15" t="str">
        <x:v>39</x:v>
      </x:c>
      <x:c r="B40" s="15" t="str">
        <x:v>Morro da Bigorna</x:v>
      </x:c>
      <x:c r="C40" s="15" t="str">
        <x:v>Morro da Bigorna</x:v>
      </x:c>
      <x:c r="D40" s="15" t="str">
        <x:v>Formação rochosa / mirante</x:v>
      </x:c>
      <x:c r="E40" s="15" t="str">
        <x:v>Serras Gerais</x:v>
      </x:c>
      <x:c r="F40" s="15" t="str">
        <x:v>A confirmar</x:v>
      </x:c>
      <x:c r="G40" s="15" t="str"/>
      <x:c r="H40" s="15" t="str">
        <x:v>pendente</x:v>
      </x:c>
      <x:c r="I40" s="15" t="str">
        <x:v>sem_foto_licenciada</x:v>
      </x:c>
      <x:c r="J40" s="15" t="str"/>
      <x:c r="K40" s="15" t="str"/>
      <x:c r="L40" s="15" t="str"/>
      <x:c r="M40" s="15" t="str"/>
      <x:c r="N40" s="15" t="str"/>
      <x:c r="O40" s="15" t="str"/>
      <x:c r="P40" s="15" t="str">
        <x:v>https://www.google.com/maps/search/?api=1&amp;query=Morro+da+Bigorna%2C+Tocantins%2C+Brasil</x:v>
      </x:c>
      <x:c r="Q40" s="15" t="str">
        <x:v>https://www.google.com/search?tbm=isch&amp;q=Morro+da+Bigorna%2C+Tocantins%2C+Brasil</x:v>
      </x:c>
      <x:c r="R40" s="15" t="str">
        <x:v>novo</x:v>
      </x:c>
      <x:c r="S40" s="15" t="str">
        <x:v>Município ainda não corroborado por fonte independente.</x:v>
      </x:c>
      <x:c r="T40" s="15" t="str">
        <x:v>morro-da-bigorna</x:v>
      </x:c>
      <x:c r="U40" s="15" t="str">
        <x:v>somente_mapa</x:v>
      </x:c>
    </x:row>
    <x:row r="41" ht="22" customHeight="1">
      <x:c r="A41" s="15" t="str">
        <x:v>40</x:v>
      </x:c>
      <x:c r="B41" s="15" t="str">
        <x:v>Mirante do Cerrado</x:v>
      </x:c>
      <x:c r="C41" s="15" t="str">
        <x:v>Mirante do Cerrado</x:v>
      </x:c>
      <x:c r="D41" s="15" t="str">
        <x:v>Formação rochosa / mirante</x:v>
      </x:c>
      <x:c r="E41" s="15" t="str">
        <x:v>Serras Gerais</x:v>
      </x:c>
      <x:c r="F41" s="15" t="str">
        <x:v>A confirmar</x:v>
      </x:c>
      <x:c r="G41" s="15" t="str"/>
      <x:c r="H41" s="15" t="str">
        <x:v>pendente</x:v>
      </x:c>
      <x:c r="I41" s="15" t="str">
        <x:v>sem_foto_licenciada</x:v>
      </x:c>
      <x:c r="J41" s="15" t="str"/>
      <x:c r="K41" s="15" t="str"/>
      <x:c r="L41" s="15" t="str"/>
      <x:c r="M41" s="15" t="str"/>
      <x:c r="N41" s="15" t="str"/>
      <x:c r="O41" s="15" t="str"/>
      <x:c r="P41" s="15" t="str">
        <x:v>https://www.google.com/maps/search/?api=1&amp;query=Mirante+do+Cerrado%2C+Tocantins%2C+Brasil</x:v>
      </x:c>
      <x:c r="Q41" s="15" t="str">
        <x:v>https://www.google.com/search?tbm=isch&amp;q=Mirante+do+Cerrado%2C+Tocantins%2C+Brasil</x:v>
      </x:c>
      <x:c r="R41" s="15" t="str">
        <x:v>novo</x:v>
      </x:c>
      <x:c r="S41" s="15" t="str">
        <x:v>Município ainda não corroborado por fonte independente.</x:v>
      </x:c>
      <x:c r="T41" s="15" t="str">
        <x:v>mirante-do-cerrado</x:v>
      </x:c>
      <x:c r="U41" s="15" t="str">
        <x:v>somente_mapa</x:v>
      </x:c>
    </x:row>
    <x:row r="42" ht="22" customHeight="1">
      <x:c r="A42" s="15" t="str">
        <x:v>41</x:v>
      </x:c>
      <x:c r="B42" s="15" t="str">
        <x:v>Cachoeira Vai Quem Tem</x:v>
      </x:c>
      <x:c r="C42" s="15" t="str">
        <x:v>Cachoeira Vai Quem Tem</x:v>
      </x:c>
      <x:c r="D42" s="15" t="str">
        <x:v>Cachoeira</x:v>
      </x:c>
      <x:c r="E42" s="15" t="str">
        <x:v>Serras Gerais</x:v>
      </x:c>
      <x:c r="F42" s="15" t="str">
        <x:v>A confirmar</x:v>
      </x:c>
      <x:c r="G42" s="15" t="str"/>
      <x:c r="H42" s="15" t="str">
        <x:v>pendente</x:v>
      </x:c>
      <x:c r="I42" s="15" t="str">
        <x:v>sem_foto_licenciada</x:v>
      </x:c>
      <x:c r="J42" s="15" t="str"/>
      <x:c r="K42" s="15" t="str"/>
      <x:c r="L42" s="15" t="str"/>
      <x:c r="M42" s="15" t="str"/>
      <x:c r="N42" s="15" t="str"/>
      <x:c r="O42" s="15" t="str"/>
      <x:c r="P42" s="15" t="str">
        <x:v>https://www.google.com/maps/search/?api=1&amp;query=Cachoeira+Vai+Quem+Tem%2C+Tocantins%2C+Brasil</x:v>
      </x:c>
      <x:c r="Q42" s="15" t="str">
        <x:v>https://www.google.com/search?tbm=isch&amp;q=Cachoeira+Vai+Quem+Tem%2C+Tocantins%2C+Brasil</x:v>
      </x:c>
      <x:c r="R42" s="15" t="str">
        <x:v>novo</x:v>
      </x:c>
      <x:c r="S42" s="15" t="str">
        <x:v>Município ainda não corroborado por fonte independente.</x:v>
      </x:c>
      <x:c r="T42" s="15" t="str">
        <x:v>cachoeira-vai-quem-tem</x:v>
      </x:c>
      <x:c r="U42" s="15" t="str">
        <x:v>somente_mapa</x:v>
      </x:c>
    </x:row>
    <x:row r="43" ht="22" customHeight="1">
      <x:c r="A43" s="15" t="str">
        <x:v>42</x:v>
      </x:c>
      <x:c r="B43" s="15" t="str">
        <x:v>Farinhada do Preto</x:v>
      </x:c>
      <x:c r="C43" s="15" t="str">
        <x:v>Farinhada do Preto</x:v>
      </x:c>
      <x:c r="D43" s="15" t="str">
        <x:v>Experiência comunitária e gastronômica</x:v>
      </x:c>
      <x:c r="E43" s="15" t="str">
        <x:v>Serras Gerais</x:v>
      </x:c>
      <x:c r="F43" s="15" t="str">
        <x:v>A confirmar</x:v>
      </x:c>
      <x:c r="G43" s="15" t="str"/>
      <x:c r="H43" s="15" t="str">
        <x:v>pendente</x:v>
      </x:c>
      <x:c r="I43" s="15" t="str">
        <x:v>sem_foto_licenciada</x:v>
      </x:c>
      <x:c r="J43" s="15" t="str"/>
      <x:c r="K43" s="15" t="str"/>
      <x:c r="L43" s="15" t="str"/>
      <x:c r="M43" s="15" t="str"/>
      <x:c r="N43" s="15" t="str"/>
      <x:c r="O43" s="15" t="str"/>
      <x:c r="P43" s="15" t="str">
        <x:v>https://www.google.com/maps/search/?api=1&amp;query=Farinhada+do+Preto%2C+Tocantins%2C+Brasil</x:v>
      </x:c>
      <x:c r="Q43" s="15" t="str">
        <x:v>https://www.google.com/search?tbm=isch&amp;q=Farinhada+do+Preto%2C+Tocantins%2C+Brasil</x:v>
      </x:c>
      <x:c r="R43" s="15" t="str">
        <x:v>novo</x:v>
      </x:c>
      <x:c r="S43" s="15" t="str">
        <x:v>Município ainda não corroborado por fonte independente.</x:v>
      </x:c>
      <x:c r="T43" s="15" t="str">
        <x:v>farinhada-do-preto</x:v>
      </x:c>
      <x:c r="U43" s="15" t="str">
        <x:v>somente_mapa</x:v>
      </x:c>
    </x:row>
    <x:row r="44" ht="22" customHeight="1">
      <x:c r="A44" s="15" t="str">
        <x:v>43</x:v>
      </x:c>
      <x:c r="B44" s="15" t="str">
        <x:v>Lagoa da Serra</x:v>
      </x:c>
      <x:c r="C44" s="15" t="str">
        <x:v>Lagoa da Serra</x:v>
      </x:c>
      <x:c r="D44" s="15" t="str">
        <x:v>Lagoa</x:v>
      </x:c>
      <x:c r="E44" s="15" t="str">
        <x:v>Serras Gerais</x:v>
      </x:c>
      <x:c r="F44" s="15" t="str">
        <x:v>Serras Gerais</x:v>
      </x:c>
      <x:c r="G44" s="15" t="str">
        <x:v>Rio da Conceição</x:v>
      </x:c>
      <x:c r="H44" s="15" t="str">
        <x:v>corroborado</x:v>
      </x:c>
      <x:c r="I44" s="15" t="str">
        <x:v>foto_licenciada</x:v>
      </x:c>
      <x:c r="J44" s="15" t="str">
        <x:v>https://commons.wikimedia.org/wiki/Special:FilePath/Lagoa_da_Serra%2C_em_Rio_da_Concei%C3%A7%C3%A3o%2C_Tocantins.jpg?width=960</x:v>
      </x:c>
      <x:c r="K44" s="15" t="str">
        <x:v>https://commons.wikimedia.org/wiki/File:Lagoa_da_Serra,_em_Rio_da_Concei%C3%A7%C3%A3o,_Tocantins.jpg</x:v>
      </x:c>
      <x:c r="L44" s="15" t="str">
        <x:v>R. Uchôa</x:v>
      </x:c>
      <x:c r="M44" s="15" t="str">
        <x:v>CC BY-SA 4.0</x:v>
      </x:c>
      <x:c r="N44" s="15" t="str">
        <x:v>https://observatorio.turismo.to.gov.br/observatorio/pesquisas/plano-desenvolvimento-regional/serras-gerais/</x:v>
      </x:c>
      <x:c r="O44" s="15" t="str"/>
      <x:c r="P44" s="15" t="str">
        <x:v>https://www.google.com/maps/search/?api=1&amp;query=Lagoa+da+Serra%2C+Rio+da+Concei%C3%A7%C3%A3o%2C+Tocantins%2C+Brasil</x:v>
      </x:c>
      <x:c r="Q44" s="15" t="str">
        <x:v>https://www.google.com/search?tbm=isch&amp;q=Lagoa+da+Serra%2C+Rio+da+Concei%C3%A7%C3%A3o%2C+Tocantins%2C+Brasil</x:v>
      </x:c>
      <x:c r="R44" s="15" t="str">
        <x:v>novo</x:v>
      </x:c>
      <x:c r="S44" s="15" t="str"/>
      <x:c r="T44" s="15" t="str">
        <x:v>lagoa-da-serra</x:v>
      </x:c>
      <x:c r="U44" s="15" t="str">
        <x:v>documentado_por_fonte</x:v>
      </x:c>
    </x:row>
    <x:row r="45" ht="22" customHeight="1">
      <x:c r="A45" s="15" t="str">
        <x:v>44</x:v>
      </x:c>
      <x:c r="B45" s="15" t="str">
        <x:v>Paredão do Rio de Areia</x:v>
      </x:c>
      <x:c r="C45" s="15" t="str">
        <x:v>Paredão do Rio de Areia</x:v>
      </x:c>
      <x:c r="D45" s="15" t="str">
        <x:v>Formação rochosa / mirante</x:v>
      </x:c>
      <x:c r="E45" s="15" t="str">
        <x:v>Serras Gerais</x:v>
      </x:c>
      <x:c r="F45" s="15" t="str">
        <x:v>A confirmar</x:v>
      </x:c>
      <x:c r="G45" s="15" t="str"/>
      <x:c r="H45" s="15" t="str">
        <x:v>pendente</x:v>
      </x:c>
      <x:c r="I45" s="15" t="str">
        <x:v>sem_foto_licenciada</x:v>
      </x:c>
      <x:c r="J45" s="15" t="str"/>
      <x:c r="K45" s="15" t="str"/>
      <x:c r="L45" s="15" t="str"/>
      <x:c r="M45" s="15" t="str"/>
      <x:c r="N45" s="15" t="str"/>
      <x:c r="O45" s="15" t="str"/>
      <x:c r="P45" s="15" t="str">
        <x:v>https://www.google.com/maps/search/?api=1&amp;query=Pared%C3%A3o+do+Rio+de+Areia%2C+Tocantins%2C+Brasil</x:v>
      </x:c>
      <x:c r="Q45" s="15" t="str">
        <x:v>https://www.google.com/search?tbm=isch&amp;q=Pared%C3%A3o+do+Rio+de+Areia%2C+Tocantins%2C+Brasil</x:v>
      </x:c>
      <x:c r="R45" s="15" t="str">
        <x:v>novo</x:v>
      </x:c>
      <x:c r="S45" s="15" t="str">
        <x:v>Município ainda não corroborado por fonte independente.</x:v>
      </x:c>
      <x:c r="T45" s="15" t="str">
        <x:v>paredao-do-rio-de-areia</x:v>
      </x:c>
      <x:c r="U45" s="15" t="str">
        <x:v>somente_mapa</x:v>
      </x:c>
    </x:row>
    <x:row r="46" ht="22" customHeight="1">
      <x:c r="A46" s="15" t="str">
        <x:v>45</x:v>
      </x:c>
      <x:c r="B46" s="15" t="str">
        <x:v>Fortaleza dos Guardiões</x:v>
      </x:c>
      <x:c r="C46" s="15" t="str">
        <x:v>Fortaleza dos Guardiões</x:v>
      </x:c>
      <x:c r="D46" s="15" t="str">
        <x:v>Formação rochosa / mirante</x:v>
      </x:c>
      <x:c r="E46" s="15" t="str">
        <x:v>Serras Gerais</x:v>
      </x:c>
      <x:c r="F46" s="15" t="str">
        <x:v>Serras Gerais</x:v>
      </x:c>
      <x:c r="G46" s="15" t="str">
        <x:v>Dianópolis</x:v>
      </x:c>
      <x:c r="H46" s="15" t="str">
        <x:v>corroborado</x:v>
      </x:c>
      <x:c r="I46" s="15" t="str">
        <x:v>sem_foto_licenciada</x:v>
      </x:c>
      <x:c r="J46" s="15" t="str"/>
      <x:c r="K46" s="15" t="str"/>
      <x:c r="L46" s="15" t="str"/>
      <x:c r="M46" s="15" t="str"/>
      <x:c r="N46" s="15" t="str">
        <x:v>https://www.dianopolis.to.gov.br/guiacidade/pontos-turisticos/1</x:v>
      </x:c>
      <x:c r="O46" s="15" t="str"/>
      <x:c r="P46" s="15" t="str">
        <x:v>https://www.google.com/maps/search/?api=1&amp;query=Fortaleza+dos+Guardi%C3%B5es%2C+Dian%C3%B3polis%2C+Tocantins%2C+Brasil</x:v>
      </x:c>
      <x:c r="Q46" s="15" t="str">
        <x:v>https://www.google.com/search?tbm=isch&amp;q=Fortaleza+dos+Guardi%C3%B5es%2C+Dian%C3%B3polis%2C+Tocantins%2C+Brasil</x:v>
      </x:c>
      <x:c r="R46" s="15" t="str">
        <x:v>novo</x:v>
      </x:c>
      <x:c r="S46" s="15" t="str"/>
      <x:c r="T46" s="15" t="str">
        <x:v>fortaleza-dos-guardioes</x:v>
      </x:c>
      <x:c r="U46" s="15" t="str">
        <x:v>documentado_por_fonte</x:v>
      </x:c>
    </x:row>
    <x:row r="47" ht="22" customHeight="1">
      <x:c r="A47" s="15" t="str">
        <x:v>46</x:v>
      </x:c>
      <x:c r="B47" s="15" t="str">
        <x:v>Cachoeira do Cavalo Queimado</x:v>
      </x:c>
      <x:c r="C47" s="15" t="str">
        <x:v>Cachoeira do Cavalo Queimado</x:v>
      </x:c>
      <x:c r="D47" s="15" t="str">
        <x:v>Cachoeira</x:v>
      </x:c>
      <x:c r="E47" s="15" t="str">
        <x:v>Serras Gerais</x:v>
      </x:c>
      <x:c r="F47" s="15" t="str">
        <x:v>A confirmar</x:v>
      </x:c>
      <x:c r="G47" s="15" t="str"/>
      <x:c r="H47" s="15" t="str">
        <x:v>pendente</x:v>
      </x:c>
      <x:c r="I47" s="15" t="str">
        <x:v>sem_foto_licenciada</x:v>
      </x:c>
      <x:c r="J47" s="15" t="str"/>
      <x:c r="K47" s="15" t="str"/>
      <x:c r="L47" s="15" t="str"/>
      <x:c r="M47" s="15" t="str"/>
      <x:c r="N47" s="15" t="str"/>
      <x:c r="O47" s="15" t="str"/>
      <x:c r="P47" s="15" t="str">
        <x:v>https://www.google.com/maps/search/?api=1&amp;query=Cachoeira+do+Cavalo+Queimado%2C+Tocantins%2C+Brasil</x:v>
      </x:c>
      <x:c r="Q47" s="15" t="str">
        <x:v>https://www.google.com/search?tbm=isch&amp;q=Cachoeira+do+Cavalo+Queimado%2C+Tocantins%2C+Brasil</x:v>
      </x:c>
      <x:c r="R47" s="15" t="str">
        <x:v>novo</x:v>
      </x:c>
      <x:c r="S47" s="15" t="str">
        <x:v>Município ainda não corroborado por fonte independente.</x:v>
      </x:c>
      <x:c r="T47" s="15" t="str">
        <x:v>cachoeira-do-cavalo-queimado</x:v>
      </x:c>
      <x:c r="U47" s="15" t="str">
        <x:v>somente_mapa</x:v>
      </x:c>
    </x:row>
    <x:row r="48" ht="22" customHeight="1">
      <x:c r="A48" s="15" t="str">
        <x:v>47</x:v>
      </x:c>
      <x:c r="B48" s="15" t="str">
        <x:v>Cachoeira das Orquídeas</x:v>
      </x:c>
      <x:c r="C48" s="15" t="str">
        <x:v>Cachoeira das Orquídeas</x:v>
      </x:c>
      <x:c r="D48" s="15" t="str">
        <x:v>Cachoeira</x:v>
      </x:c>
      <x:c r="E48" s="15" t="str">
        <x:v>Serras Gerais</x:v>
      </x:c>
      <x:c r="F48" s="15" t="str">
        <x:v>A confirmar</x:v>
      </x:c>
      <x:c r="G48" s="15" t="str"/>
      <x:c r="H48" s="15" t="str">
        <x:v>pendente</x:v>
      </x:c>
      <x:c r="I48" s="15" t="str">
        <x:v>sem_foto_licenciada</x:v>
      </x:c>
      <x:c r="J48" s="15" t="str"/>
      <x:c r="K48" s="15" t="str"/>
      <x:c r="L48" s="15" t="str"/>
      <x:c r="M48" s="15" t="str"/>
      <x:c r="N48" s="15" t="str"/>
      <x:c r="O48" s="15" t="str"/>
      <x:c r="P48" s="15" t="str">
        <x:v>https://www.google.com/maps/search/?api=1&amp;query=Cachoeira+das+Orqu%C3%ADdeas%2C+Tocantins%2C+Brasil</x:v>
      </x:c>
      <x:c r="Q48" s="15" t="str">
        <x:v>https://www.google.com/search?tbm=isch&amp;q=Cachoeira+das+Orqu%C3%ADdeas%2C+Tocantins%2C+Brasil</x:v>
      </x:c>
      <x:c r="R48" s="15" t="str">
        <x:v>novo</x:v>
      </x:c>
      <x:c r="S48" s="15" t="str">
        <x:v>Município ainda não corroborado por fonte independente.</x:v>
      </x:c>
      <x:c r="T48" s="15" t="str">
        <x:v>cachoeira-das-orquideas</x:v>
      </x:c>
      <x:c r="U48" s="15" t="str">
        <x:v>somente_mapa</x:v>
      </x:c>
    </x:row>
    <x:row r="49" ht="22" customHeight="1">
      <x:c r="A49" s="15" t="str">
        <x:v>48</x:v>
      </x:c>
      <x:c r="B49" s="15" t="str">
        <x:v>Vale Encantado</x:v>
      </x:c>
      <x:c r="C49" s="15" t="str">
        <x:v>Vale Encantado</x:v>
      </x:c>
      <x:c r="D49" s="15" t="str">
        <x:v>Outros / confirmar categoria</x:v>
      </x:c>
      <x:c r="E49" s="15" t="str">
        <x:v>Serras Gerais</x:v>
      </x:c>
      <x:c r="F49" s="15" t="str">
        <x:v>Serras Gerais</x:v>
      </x:c>
      <x:c r="G49" s="15" t="str">
        <x:v>Dianópolis</x:v>
      </x:c>
      <x:c r="H49" s="15" t="str">
        <x:v>corroborado</x:v>
      </x:c>
      <x:c r="I49" s="15" t="str">
        <x:v>sem_foto_licenciada</x:v>
      </x:c>
      <x:c r="J49" s="15" t="str"/>
      <x:c r="K49" s="15" t="str"/>
      <x:c r="L49" s="15" t="str"/>
      <x:c r="M49" s="15" t="str"/>
      <x:c r="N49" s="15" t="str">
        <x:v>https://www.dianopolis.to.gov.br/guiacidade/pontos-turisticos/1</x:v>
      </x:c>
      <x:c r="O49" s="15" t="str"/>
      <x:c r="P49" s="15" t="str">
        <x:v>https://www.google.com/maps/search/?api=1&amp;query=Vale+Encantado%2C+Dian%C3%B3polis%2C+Tocantins%2C+Brasil</x:v>
      </x:c>
      <x:c r="Q49" s="15" t="str">
        <x:v>https://www.google.com/search?tbm=isch&amp;q=Vale+Encantado%2C+Dian%C3%B3polis%2C+Tocantins%2C+Brasil</x:v>
      </x:c>
      <x:c r="R49" s="15" t="str">
        <x:v>novo</x:v>
      </x:c>
      <x:c r="S49" s="15" t="str"/>
      <x:c r="T49" s="15" t="str">
        <x:v>vale-encantado</x:v>
      </x:c>
      <x:c r="U49" s="15" t="str">
        <x:v>documentado_por_fonte</x:v>
      </x:c>
    </x:row>
    <x:row r="50" ht="22" customHeight="1">
      <x:c r="A50" s="15" t="str">
        <x:v>49</x:v>
      </x:c>
      <x:c r="B50" s="15" t="str">
        <x:v>Gruta do Sabão</x:v>
      </x:c>
      <x:c r="C50" s="15" t="str">
        <x:v>Gruta do Sabão</x:v>
      </x:c>
      <x:c r="D50" s="15" t="str">
        <x:v>Gruta</x:v>
      </x:c>
      <x:c r="E50" s="15" t="str">
        <x:v>Serras Gerais</x:v>
      </x:c>
      <x:c r="F50" s="15" t="str">
        <x:v>A confirmar</x:v>
      </x:c>
      <x:c r="G50" s="15" t="str"/>
      <x:c r="H50" s="15" t="str">
        <x:v>pendente</x:v>
      </x:c>
      <x:c r="I50" s="15" t="str">
        <x:v>sem_foto_licenciada</x:v>
      </x:c>
      <x:c r="J50" s="15" t="str"/>
      <x:c r="K50" s="15" t="str"/>
      <x:c r="L50" s="15" t="str"/>
      <x:c r="M50" s="15" t="str"/>
      <x:c r="N50" s="15" t="str"/>
      <x:c r="O50" s="15" t="str"/>
      <x:c r="P50" s="15" t="str">
        <x:v>https://www.google.com/maps/search/?api=1&amp;query=Gruta+do+Sab%C3%A3o%2C+Tocantins%2C+Brasil</x:v>
      </x:c>
      <x:c r="Q50" s="15" t="str">
        <x:v>https://www.google.com/search?tbm=isch&amp;q=Gruta+do+Sab%C3%A3o%2C+Tocantins%2C+Brasil</x:v>
      </x:c>
      <x:c r="R50" s="15" t="str">
        <x:v>novo</x:v>
      </x:c>
      <x:c r="S50" s="15" t="str">
        <x:v>Município ainda não corroborado por fonte independente.</x:v>
      </x:c>
      <x:c r="T50" s="15" t="str">
        <x:v>gruta-do-sabao</x:v>
      </x:c>
      <x:c r="U50" s="15" t="str">
        <x:v>somente_mapa</x:v>
      </x:c>
    </x:row>
    <x:row r="51" ht="22" customHeight="1">
      <x:c r="A51" s="15" t="str">
        <x:v>50</x:v>
      </x:c>
      <x:c r="B51" s="15" t="str">
        <x:v>Azuis</x:v>
      </x:c>
      <x:c r="C51" s="15" t="str">
        <x:v>Rio Azuis</x:v>
      </x:c>
      <x:c r="D51" s="15" t="str">
        <x:v>Rio e balneário</x:v>
      </x:c>
      <x:c r="E51" s="15" t="str">
        <x:v>Serras Gerais</x:v>
      </x:c>
      <x:c r="F51" s="15" t="str">
        <x:v>Serras Gerais</x:v>
      </x:c>
      <x:c r="G51" s="15" t="str">
        <x:v>Aurora do Tocantins</x:v>
      </x:c>
      <x:c r="H51" s="15" t="str">
        <x:v>corroborado</x:v>
      </x:c>
      <x:c r="I51" s="15" t="str">
        <x:v>sem_foto_licenciada</x:v>
      </x:c>
      <x:c r="J51" s="15" t="str"/>
      <x:c r="K51" s="15" t="str"/>
      <x:c r="L51" s="15" t="str"/>
      <x:c r="M51" s="15" t="str"/>
      <x:c r="N51" s="15" t="str">
        <x:v>https://tocantinsturismo.com/</x:v>
      </x:c>
      <x:c r="O51" s="15" t="str"/>
      <x:c r="P51" s="15" t="str">
        <x:v>https://www.google.com/maps/search/?api=1&amp;query=Azuis%2C+Aurora+do+Tocantins%2C+Tocantins%2C+Brasil</x:v>
      </x:c>
      <x:c r="Q51" s="15" t="str">
        <x:v>https://www.google.com/search?tbm=isch&amp;q=Azuis%2C+Aurora+do+Tocantins%2C+Tocantins%2C+Brasil</x:v>
      </x:c>
      <x:c r="R51" s="15" t="str">
        <x:v>novo</x:v>
      </x:c>
      <x:c r="S51" s="15" t="str"/>
      <x:c r="T51" s="15" t="str">
        <x:v>azuis</x:v>
      </x:c>
      <x:c r="U51" s="15" t="str">
        <x:v>documentado_por_fonte</x:v>
      </x:c>
    </x:row>
    <x:row r="52" ht="22" customHeight="1">
      <x:c r="A52" s="15" t="str">
        <x:v>51</x:v>
      </x:c>
      <x:c r="B52" s="15" t="str">
        <x:v>Escorrega do Betim</x:v>
      </x:c>
      <x:c r="C52" s="15" t="str">
        <x:v>Escorrega do Betim</x:v>
      </x:c>
      <x:c r="D52" s="15" t="str">
        <x:v>Balneário</x:v>
      </x:c>
      <x:c r="E52" s="15" t="str">
        <x:v>Serras Gerais</x:v>
      </x:c>
      <x:c r="F52" s="15" t="str">
        <x:v>A confirmar</x:v>
      </x:c>
      <x:c r="G52" s="15" t="str"/>
      <x:c r="H52" s="15" t="str">
        <x:v>pendente</x:v>
      </x:c>
      <x:c r="I52" s="15" t="str">
        <x:v>sem_foto_licenciada</x:v>
      </x:c>
      <x:c r="J52" s="15" t="str"/>
      <x:c r="K52" s="15" t="str"/>
      <x:c r="L52" s="15" t="str"/>
      <x:c r="M52" s="15" t="str"/>
      <x:c r="N52" s="15" t="str"/>
      <x:c r="O52" s="15" t="str"/>
      <x:c r="P52" s="15" t="str">
        <x:v>https://www.google.com/maps/search/?api=1&amp;query=Escorrega+do+Betim%2C+Tocantins%2C+Brasil</x:v>
      </x:c>
      <x:c r="Q52" s="15" t="str">
        <x:v>https://www.google.com/search?tbm=isch&amp;q=Escorrega+do+Betim%2C+Tocantins%2C+Brasil</x:v>
      </x:c>
      <x:c r="R52" s="15" t="str">
        <x:v>novo</x:v>
      </x:c>
      <x:c r="S52" s="15" t="str">
        <x:v>Município ainda não corroborado por fonte independente.</x:v>
      </x:c>
      <x:c r="T52" s="15" t="str">
        <x:v>escorrega-do-betim</x:v>
      </x:c>
      <x:c r="U52" s="15" t="str">
        <x:v>somente_mapa</x:v>
      </x:c>
    </x:row>
    <x:row r="53" ht="22" customHeight="1">
      <x:c r="A53" s="15" t="str">
        <x:v>52</x:v>
      </x:c>
      <x:c r="B53" s="15" t="str">
        <x:v>Praia do Pequizeiro</x:v>
      </x:c>
      <x:c r="C53" s="15" t="str">
        <x:v>Praia do Pequizeiro</x:v>
      </x:c>
      <x:c r="D53" s="15" t="str">
        <x:v>Praia fluvial</x:v>
      </x:c>
      <x:c r="E53" s="15" t="str">
        <x:v>Serras Gerais</x:v>
      </x:c>
      <x:c r="F53" s="15" t="str">
        <x:v>Serras Gerais</x:v>
      </x:c>
      <x:c r="G53" s="15" t="str">
        <x:v>Lavandeira</x:v>
      </x:c>
      <x:c r="H53" s="15" t="str">
        <x:v>corroborado</x:v>
      </x:c>
      <x:c r="I53" s="15" t="str">
        <x:v>sem_foto_licenciada</x:v>
      </x:c>
      <x:c r="J53" s="15" t="str"/>
      <x:c r="K53" s="15" t="str"/>
      <x:c r="L53" s="15" t="str"/>
      <x:c r="M53" s="15" t="str"/>
      <x:c r="N53" s="15" t="str">
        <x:v>https://caminhantesdocerrado.com/product/serras-gerais-7-dias6-noites/nHk8DWLY</x:v>
      </x:c>
      <x:c r="O53" s="15" t="str"/>
      <x:c r="P53" s="15" t="str">
        <x:v>https://www.google.com/maps/search/?api=1&amp;query=Praia+do+Pequizeiro%2C+Lavandeira%2C+Tocantins%2C+Brasil</x:v>
      </x:c>
      <x:c r="Q53" s="15" t="str">
        <x:v>https://www.google.com/search?tbm=isch&amp;q=Praia+do+Pequizeiro%2C+Lavandeira%2C+Tocantins%2C+Brasil</x:v>
      </x:c>
      <x:c r="R53" s="15" t="str">
        <x:v>novo</x:v>
      </x:c>
      <x:c r="S53" s="15" t="str"/>
      <x:c r="T53" s="15" t="str">
        <x:v>praia-do-pequizeiro</x:v>
      </x:c>
      <x:c r="U53" s="15" t="str">
        <x:v>documentado_por_fonte</x:v>
      </x:c>
    </x:row>
    <x:row r="54" ht="22" customHeight="1">
      <x:c r="A54" s="15" t="str">
        <x:v>53</x:v>
      </x:c>
      <x:c r="B54" s="15" t="str">
        <x:v>Cachoeira do Sombra</x:v>
      </x:c>
      <x:c r="C54" s="15" t="str">
        <x:v>Cachoeira do Sombra</x:v>
      </x:c>
      <x:c r="D54" s="15" t="str">
        <x:v>Cachoeira</x:v>
      </x:c>
      <x:c r="E54" s="15" t="str">
        <x:v>Serras Gerais</x:v>
      </x:c>
      <x:c r="F54" s="15" t="str">
        <x:v>A confirmar</x:v>
      </x:c>
      <x:c r="G54" s="15" t="str"/>
      <x:c r="H54" s="15" t="str">
        <x:v>pendente</x:v>
      </x:c>
      <x:c r="I54" s="15" t="str">
        <x:v>sem_foto_licenciada</x:v>
      </x:c>
      <x:c r="J54" s="15" t="str"/>
      <x:c r="K54" s="15" t="str"/>
      <x:c r="L54" s="15" t="str"/>
      <x:c r="M54" s="15" t="str"/>
      <x:c r="N54" s="15" t="str"/>
      <x:c r="O54" s="15" t="str"/>
      <x:c r="P54" s="15" t="str">
        <x:v>https://www.google.com/maps/search/?api=1&amp;query=Cachoeira+do+Sombra%2C+Tocantins%2C+Brasil</x:v>
      </x:c>
      <x:c r="Q54" s="15" t="str">
        <x:v>https://www.google.com/search?tbm=isch&amp;q=Cachoeira+do+Sombra%2C+Tocantins%2C+Brasil</x:v>
      </x:c>
      <x:c r="R54" s="15" t="str">
        <x:v>novo</x:v>
      </x:c>
      <x:c r="S54" s="15" t="str">
        <x:v>Município ainda não corroborado por fonte independente.</x:v>
      </x:c>
      <x:c r="T54" s="15" t="str">
        <x:v>cachoeira-do-sombra</x:v>
      </x:c>
      <x:c r="U54" s="15" t="str">
        <x:v>somente_mapa</x:v>
      </x:c>
    </x:row>
    <x:row r="55" ht="22" customHeight="1">
      <x:c r="A55" s="15" t="str">
        <x:v>54</x:v>
      </x:c>
      <x:c r="B55" s="15" t="str">
        <x:v>Poço Paraíso</x:v>
      </x:c>
      <x:c r="C55" s="15" t="str">
        <x:v>Poço Paraíso</x:v>
      </x:c>
      <x:c r="D55" s="15" t="str">
        <x:v>Outros / confirmar categoria</x:v>
      </x:c>
      <x:c r="E55" s="15" t="str">
        <x:v>Serras Gerais</x:v>
      </x:c>
      <x:c r="F55" s="15" t="str">
        <x:v>A confirmar</x:v>
      </x:c>
      <x:c r="G55" s="15" t="str"/>
      <x:c r="H55" s="15" t="str">
        <x:v>pendente</x:v>
      </x:c>
      <x:c r="I55" s="15" t="str">
        <x:v>sem_foto_licenciada</x:v>
      </x:c>
      <x:c r="J55" s="15" t="str"/>
      <x:c r="K55" s="15" t="str"/>
      <x:c r="L55" s="15" t="str"/>
      <x:c r="M55" s="15" t="str"/>
      <x:c r="N55" s="15" t="str"/>
      <x:c r="O55" s="15" t="str"/>
      <x:c r="P55" s="15" t="str">
        <x:v>https://www.google.com/maps/search/?api=1&amp;query=Po%C3%A7o+Para%C3%ADso%2C+Tocantins%2C+Brasil</x:v>
      </x:c>
      <x:c r="Q55" s="15" t="str">
        <x:v>https://www.google.com/search?tbm=isch&amp;q=Po%C3%A7o+Para%C3%ADso%2C+Tocantins%2C+Brasil</x:v>
      </x:c>
      <x:c r="R55" s="15" t="str">
        <x:v>novo</x:v>
      </x:c>
      <x:c r="S55" s="15" t="str">
        <x:v>Município ainda não corroborado por fonte independente.</x:v>
      </x:c>
      <x:c r="T55" s="15" t="str">
        <x:v>poco-paraiso</x:v>
      </x:c>
      <x:c r="U55" s="15" t="str">
        <x:v>somente_mapa</x:v>
      </x:c>
    </x:row>
    <x:row r="56" ht="22" customHeight="1">
      <x:c r="A56" s="15" t="str">
        <x:v>55</x:v>
      </x:c>
      <x:c r="B56" s="15" t="str">
        <x:v>Praia do Puçá</x:v>
      </x:c>
      <x:c r="C56" s="15" t="str">
        <x:v>Praia do Puçá</x:v>
      </x:c>
      <x:c r="D56" s="15" t="str">
        <x:v>Praia fluvial</x:v>
      </x:c>
      <x:c r="E56" s="15" t="str">
        <x:v>Serras Gerais</x:v>
      </x:c>
      <x:c r="F56" s="15" t="str">
        <x:v>Serras Gerais</x:v>
      </x:c>
      <x:c r="G56" s="15" t="str">
        <x:v>Lavandeira</x:v>
      </x:c>
      <x:c r="H56" s="15" t="str">
        <x:v>corroborado</x:v>
      </x:c>
      <x:c r="I56" s="15" t="str">
        <x:v>sem_foto_licenciada</x:v>
      </x:c>
      <x:c r="J56" s="15" t="str"/>
      <x:c r="K56" s="15" t="str"/>
      <x:c r="L56" s="15" t="str"/>
      <x:c r="M56" s="15" t="str"/>
      <x:c r="N56" s="15" t="str">
        <x:v>https://caminhantesdocerrado.com/product/serras-gerais-7-dias6-noites/nHk8DWLY</x:v>
      </x:c>
      <x:c r="O56" s="15" t="str"/>
      <x:c r="P56" s="15" t="str">
        <x:v>https://www.google.com/maps/search/?api=1&amp;query=Praia+do+Pu%C3%A7%C3%A1%2C+Lavandeira%2C+Tocantins%2C+Brasil</x:v>
      </x:c>
      <x:c r="Q56" s="15" t="str">
        <x:v>https://www.google.com/search?tbm=isch&amp;q=Praia+do+Pu%C3%A7%C3%A1%2C+Lavandeira%2C+Tocantins%2C+Brasil</x:v>
      </x:c>
      <x:c r="R56" s="15" t="str">
        <x:v>novo</x:v>
      </x:c>
      <x:c r="S56" s="15" t="str"/>
      <x:c r="T56" s="15" t="str">
        <x:v>praia-do-puca</x:v>
      </x:c>
      <x:c r="U56" s="15" t="str">
        <x:v>documentado_por_fonte</x:v>
      </x:c>
    </x:row>
    <x:row r="57" ht="22" customHeight="1">
      <x:c r="A57" s="15" t="str">
        <x:v>56</x:v>
      </x:c>
      <x:c r="B57" s="15" t="str">
        <x:v>Terra Ronca</x:v>
      </x:c>
      <x:c r="C57" s="15" t="str">
        <x:v>Terra Ronca</x:v>
      </x:c>
      <x:c r="D57" s="15" t="str">
        <x:v>Outros / confirmar categoria</x:v>
      </x:c>
      <x:c r="E57" s="15" t="str">
        <x:v>Serras Gerais</x:v>
      </x:c>
      <x:c r="F57" s="15" t="str">
        <x:v>A confirmar</x:v>
      </x:c>
      <x:c r="G57" s="15" t="str"/>
      <x:c r="H57" s="15" t="str">
        <x:v>pendente</x:v>
      </x:c>
      <x:c r="I57" s="15" t="str">
        <x:v>sem_foto_licenciada</x:v>
      </x:c>
      <x:c r="J57" s="15" t="str"/>
      <x:c r="K57" s="15" t="str"/>
      <x:c r="L57" s="15" t="str"/>
      <x:c r="M57" s="15" t="str"/>
      <x:c r="N57" s="15" t="str"/>
      <x:c r="O57" s="15" t="str"/>
      <x:c r="P57" s="15" t="str">
        <x:v>https://www.google.com/maps/search/?api=1&amp;query=Terra+Ronca%2C+Tocantins%2C+Brasil</x:v>
      </x:c>
      <x:c r="Q57" s="15" t="str">
        <x:v>https://www.google.com/search?tbm=isch&amp;q=Terra+Ronca%2C+Tocantins%2C+Brasil</x:v>
      </x:c>
      <x:c r="R57" s="15" t="str">
        <x:v>novo</x:v>
      </x:c>
      <x:c r="S57" s="15" t="str">
        <x:v>Nome homônimo conhecido em Goiás; validar município e natureza do atrativo antes de atribuir imagem ou coordenadas. Município ainda não corroborado por fonte independente.</x:v>
      </x:c>
      <x:c r="T57" s="15" t="str">
        <x:v>terra-ronca</x:v>
      </x:c>
      <x:c r="U57" s="15" t="str">
        <x:v>somente_mapa</x:v>
      </x:c>
    </x:row>
    <x:row r="58" ht="22" customHeight="1">
      <x:c r="A58" s="15" t="str">
        <x:v>57</x:v>
      </x:c>
      <x:c r="B58" s="15" t="str">
        <x:v>Cachoeira do Bartolomeu</x:v>
      </x:c>
      <x:c r="C58" s="15" t="str">
        <x:v>Cachoeira do Bartolomeu</x:v>
      </x:c>
      <x:c r="D58" s="15" t="str">
        <x:v>Cachoeira</x:v>
      </x:c>
      <x:c r="E58" s="15" t="str">
        <x:v>Serras Gerais</x:v>
      </x:c>
      <x:c r="F58" s="15" t="str">
        <x:v>A confirmar</x:v>
      </x:c>
      <x:c r="G58" s="15" t="str"/>
      <x:c r="H58" s="15" t="str">
        <x:v>pendente</x:v>
      </x:c>
      <x:c r="I58" s="15" t="str">
        <x:v>sem_foto_licenciada</x:v>
      </x:c>
      <x:c r="J58" s="15" t="str"/>
      <x:c r="K58" s="15" t="str"/>
      <x:c r="L58" s="15" t="str"/>
      <x:c r="M58" s="15" t="str"/>
      <x:c r="N58" s="15" t="str"/>
      <x:c r="O58" s="15" t="str"/>
      <x:c r="P58" s="15" t="str">
        <x:v>https://www.google.com/maps/search/?api=1&amp;query=Cachoeira+do+Bartolomeu%2C+Tocantins%2C+Brasil</x:v>
      </x:c>
      <x:c r="Q58" s="15" t="str">
        <x:v>https://www.google.com/search?tbm=isch&amp;q=Cachoeira+do+Bartolomeu%2C+Tocantins%2C+Brasil</x:v>
      </x:c>
      <x:c r="R58" s="15" t="str">
        <x:v>novo</x:v>
      </x:c>
      <x:c r="S58" s="15" t="str">
        <x:v>Município ainda não corroborado por fonte independente.</x:v>
      </x:c>
      <x:c r="T58" s="15" t="str">
        <x:v>cachoeira-do-bartolomeu</x:v>
      </x:c>
      <x:c r="U58" s="15" t="str">
        <x:v>somente_mapa</x:v>
      </x:c>
    </x:row>
    <x:row r="59" ht="22" customHeight="1">
      <x:c r="A59" s="15" t="str">
        <x:v>58</x:v>
      </x:c>
      <x:c r="B59" s="15" t="str">
        <x:v>Cachoeira das Andorinhas</x:v>
      </x:c>
      <x:c r="C59" s="15" t="str">
        <x:v>Cachoeira das Andorinhas</x:v>
      </x:c>
      <x:c r="D59" s="15" t="str">
        <x:v>Cachoeira</x:v>
      </x:c>
      <x:c r="E59" s="15" t="str">
        <x:v>Serras Gerais</x:v>
      </x:c>
      <x:c r="F59" s="15" t="str">
        <x:v>A confirmar</x:v>
      </x:c>
      <x:c r="G59" s="15" t="str"/>
      <x:c r="H59" s="15" t="str">
        <x:v>pendente</x:v>
      </x:c>
      <x:c r="I59" s="15" t="str">
        <x:v>sem_foto_licenciada</x:v>
      </x:c>
      <x:c r="J59" s="15" t="str"/>
      <x:c r="K59" s="15" t="str"/>
      <x:c r="L59" s="15" t="str"/>
      <x:c r="M59" s="15" t="str"/>
      <x:c r="N59" s="15" t="str"/>
      <x:c r="O59" s="15" t="str"/>
      <x:c r="P59" s="15" t="str">
        <x:v>https://www.google.com/maps/search/?api=1&amp;query=Cachoeira+das+Andorinhas%2C+Tocantins%2C+Brasil</x:v>
      </x:c>
      <x:c r="Q59" s="15" t="str">
        <x:v>https://www.google.com/search?tbm=isch&amp;q=Cachoeira+das+Andorinhas%2C+Tocantins%2C+Brasil</x:v>
      </x:c>
      <x:c r="R59" s="15" t="str">
        <x:v>novo</x:v>
      </x:c>
      <x:c r="S59" s="15" t="str">
        <x:v>Município ainda não corroborado por fonte independente.</x:v>
      </x:c>
      <x:c r="T59" s="15" t="str">
        <x:v>cachoeira-das-andorinhas</x:v>
      </x:c>
      <x:c r="U59" s="15" t="str">
        <x:v>somente_mapa</x:v>
      </x:c>
    </x:row>
    <x:row r="60" ht="22" customHeight="1">
      <x:c r="A60" s="15" t="str">
        <x:v>59</x:v>
      </x:c>
      <x:c r="B60" s="15" t="str">
        <x:v>Balneário Douradas</x:v>
      </x:c>
      <x:c r="C60" s="15" t="str">
        <x:v>Balneário Douradas</x:v>
      </x:c>
      <x:c r="D60" s="15" t="str">
        <x:v>Outros / confirmar categoria</x:v>
      </x:c>
      <x:c r="E60" s="15" t="str">
        <x:v>Serras Gerais</x:v>
      </x:c>
      <x:c r="F60" s="15" t="str">
        <x:v>A confirmar</x:v>
      </x:c>
      <x:c r="G60" s="15" t="str"/>
      <x:c r="H60" s="15" t="str">
        <x:v>pendente</x:v>
      </x:c>
      <x:c r="I60" s="15" t="str">
        <x:v>sem_foto_licenciada</x:v>
      </x:c>
      <x:c r="J60" s="15" t="str"/>
      <x:c r="K60" s="15" t="str"/>
      <x:c r="L60" s="15" t="str"/>
      <x:c r="M60" s="15" t="str"/>
      <x:c r="N60" s="15" t="str"/>
      <x:c r="O60" s="15" t="str"/>
      <x:c r="P60" s="15" t="str">
        <x:v>https://www.google.com/maps/search/?api=1&amp;query=Balne%C3%A1rio+Douradas%2C+Tocantins%2C+Brasil</x:v>
      </x:c>
      <x:c r="Q60" s="15" t="str">
        <x:v>https://www.google.com/search?tbm=isch&amp;q=Balne%C3%A1rio+Douradas%2C+Tocantins%2C+Brasil</x:v>
      </x:c>
      <x:c r="R60" s="15" t="str">
        <x:v>novo</x:v>
      </x:c>
      <x:c r="S60" s="15" t="str">
        <x:v>Município ainda não corroborado por fonte independente.</x:v>
      </x:c>
      <x:c r="T60" s="15" t="str">
        <x:v>balneario-douradas</x:v>
      </x:c>
      <x:c r="U60" s="15" t="str">
        <x:v>somente_mapa</x:v>
      </x:c>
    </x:row>
    <x:row r="61" ht="22" customHeight="1">
      <x:c r="A61" s="15" t="str">
        <x:v>60</x:v>
      </x:c>
      <x:c r="B61" s="15" t="str">
        <x:v>Produção de Cachaça e Licores</x:v>
      </x:c>
      <x:c r="C61" s="15" t="str">
        <x:v>Produção de Cachaça e Licores</x:v>
      </x:c>
      <x:c r="D61" s="15" t="str">
        <x:v>Vivência produtiva e cultural</x:v>
      </x:c>
      <x:c r="E61" s="15" t="str">
        <x:v>Serras Gerais</x:v>
      </x:c>
      <x:c r="F61" s="15" t="str">
        <x:v>A confirmar</x:v>
      </x:c>
      <x:c r="G61" s="15" t="str"/>
      <x:c r="H61" s="15" t="str">
        <x:v>pendente</x:v>
      </x:c>
      <x:c r="I61" s="15" t="str">
        <x:v>sem_foto_licenciada</x:v>
      </x:c>
      <x:c r="J61" s="15" t="str"/>
      <x:c r="K61" s="15" t="str"/>
      <x:c r="L61" s="15" t="str"/>
      <x:c r="M61" s="15" t="str"/>
      <x:c r="N61" s="15" t="str"/>
      <x:c r="O61" s="15" t="str"/>
      <x:c r="P61" s="15" t="str">
        <x:v>https://www.google.com/maps/search/?api=1&amp;query=Produ%C3%A7%C3%A3o+de+Cacha%C3%A7a+e+Licores%2C+Tocantins%2C+Brasil</x:v>
      </x:c>
      <x:c r="Q61" s="15" t="str">
        <x:v>https://www.google.com/search?tbm=isch&amp;q=Produ%C3%A7%C3%A3o+de+Cacha%C3%A7a+e+Licores%2C+Tocantins%2C+Brasil</x:v>
      </x:c>
      <x:c r="R61" s="15" t="str">
        <x:v>novo</x:v>
      </x:c>
      <x:c r="S61" s="15" t="str">
        <x:v>Atividade/experiência, sem POI único; requer estabelecimento, endereço e autorização de visitação. Município ainda não corroborado por fonte independente.</x:v>
      </x:c>
      <x:c r="T61" s="15" t="str">
        <x:v>producao-de-cachaca-e-licores</x:v>
      </x:c>
      <x:c r="U61" s="15" t="str">
        <x:v>somente_mapa</x:v>
      </x:c>
    </x:row>
    <x:row r="62" ht="22" customHeight="1">
      <x:c r="A62" s="15" t="str">
        <x:v>61</x:v>
      </x:c>
      <x:c r="B62" s="15" t="str">
        <x:v>Chapada da Tartaruga</x:v>
      </x:c>
      <x:c r="C62" s="15" t="str">
        <x:v>Chapada da Tartaruga</x:v>
      </x:c>
      <x:c r="D62" s="15" t="str">
        <x:v>Formação rochosa / mirante</x:v>
      </x:c>
      <x:c r="E62" s="15" t="str">
        <x:v>Serras Gerais</x:v>
      </x:c>
      <x:c r="F62" s="15" t="str">
        <x:v>A confirmar</x:v>
      </x:c>
      <x:c r="G62" s="15" t="str"/>
      <x:c r="H62" s="15" t="str">
        <x:v>pendente</x:v>
      </x:c>
      <x:c r="I62" s="15" t="str">
        <x:v>sem_foto_licenciada</x:v>
      </x:c>
      <x:c r="J62" s="15" t="str"/>
      <x:c r="K62" s="15" t="str"/>
      <x:c r="L62" s="15" t="str"/>
      <x:c r="M62" s="15" t="str"/>
      <x:c r="N62" s="15" t="str"/>
      <x:c r="O62" s="15" t="str"/>
      <x:c r="P62" s="15" t="str">
        <x:v>https://www.google.com/maps/search/?api=1&amp;query=Chapada+da+Tartaruga%2C+Tocantins%2C+Brasil</x:v>
      </x:c>
      <x:c r="Q62" s="15" t="str">
        <x:v>https://www.google.com/search?tbm=isch&amp;q=Chapada+da+Tartaruga%2C+Tocantins%2C+Brasil</x:v>
      </x:c>
      <x:c r="R62" s="15" t="str">
        <x:v>novo</x:v>
      </x:c>
      <x:c r="S62" s="15" t="str">
        <x:v>Município ainda não corroborado por fonte independente.</x:v>
      </x:c>
      <x:c r="T62" s="15" t="str">
        <x:v>chapada-da-tartaruga</x:v>
      </x:c>
      <x:c r="U62" s="15" t="str">
        <x:v>somente_mapa</x:v>
      </x:c>
    </x:row>
    <x:row r="63" ht="22" customHeight="1">
      <x:c r="A63" s="15" t="str">
        <x:v>62</x:v>
      </x:c>
      <x:c r="B63" s="15" t="str">
        <x:v>Cachoeira Paraíso</x:v>
      </x:c>
      <x:c r="C63" s="15" t="str">
        <x:v>Cachoeira Paraíso</x:v>
      </x:c>
      <x:c r="D63" s="15" t="str">
        <x:v>Cachoeira</x:v>
      </x:c>
      <x:c r="E63" s="15" t="str">
        <x:v>Serras Gerais</x:v>
      </x:c>
      <x:c r="F63" s="15" t="str">
        <x:v>A confirmar</x:v>
      </x:c>
      <x:c r="G63" s="15" t="str"/>
      <x:c r="H63" s="15" t="str">
        <x:v>pendente</x:v>
      </x:c>
      <x:c r="I63" s="15" t="str">
        <x:v>sem_foto_licenciada</x:v>
      </x:c>
      <x:c r="J63" s="15" t="str"/>
      <x:c r="K63" s="15" t="str"/>
      <x:c r="L63" s="15" t="str"/>
      <x:c r="M63" s="15" t="str"/>
      <x:c r="N63" s="15" t="str"/>
      <x:c r="O63" s="15" t="str"/>
      <x:c r="P63" s="15" t="str">
        <x:v>https://www.google.com/maps/search/?api=1&amp;query=Cachoeira+Para%C3%ADso%2C+Tocantins%2C+Brasil</x:v>
      </x:c>
      <x:c r="Q63" s="15" t="str">
        <x:v>https://www.google.com/search?tbm=isch&amp;q=Cachoeira+Para%C3%ADso%2C+Tocantins%2C+Brasil</x:v>
      </x:c>
      <x:c r="R63" s="15" t="str">
        <x:v>novo</x:v>
      </x:c>
      <x:c r="S63" s="15" t="str">
        <x:v>Município ainda não corroborado por fonte independente.</x:v>
      </x:c>
      <x:c r="T63" s="15" t="str">
        <x:v>cachoeira-paraiso</x:v>
      </x:c>
      <x:c r="U63" s="15" t="str">
        <x:v>somente_mapa</x:v>
      </x:c>
    </x:row>
    <x:row r="64" ht="22" customHeight="1">
      <x:c r="A64" s="15" t="str"/>
      <x:c r="B64" s="15" t="str"/>
      <x:c r="C64" s="15" t="str">
        <x:v>Fervedouro do Ceiça</x:v>
      </x:c>
      <x:c r="D64" s="15" t="str">
        <x:v>Fervedouro</x:v>
      </x:c>
      <x:c r="E64" s="15" t="str">
        <x:v>Lista anterior (fora dos 62 pontos do mapa)</x:v>
      </x:c>
      <x:c r="F64" s="15" t="str">
        <x:v>Encantos do Jalapão</x:v>
      </x:c>
      <x:c r="G64" s="15" t="str">
        <x:v>Mateiros</x:v>
      </x:c>
      <x:c r="H64" s="15" t="str">
        <x:v>herdado_catalogo_anterior</x:v>
      </x:c>
      <x:c r="I64" s="15" t="str">
        <x:v>foto_licenciada</x:v>
      </x:c>
      <x:c r="J64" s="15" t="str">
        <x:v>https://commons.wikimedia.org/wiki/Special:FilePath/Fervedouro_do_Cei%C3%A7a_no_Jalap%C3%A3o.jpg?width=960</x:v>
      </x:c>
      <x:c r="K64" s="15" t="str">
        <x:v>https://commons.wikimedia.org/wiki/File:Fervedouro_do_Cei%C3%A7a_no_Jalap%C3%A3o.jpg</x:v>
      </x:c>
      <x:c r="L64" s="15" t="str">
        <x:v>Amanda Santiago</x:v>
      </x:c>
      <x:c r="M64" s="15" t="str">
        <x:v>CC BY-SA 4.0</x:v>
      </x:c>
      <x:c r="N64" s="15" t="str">
        <x:v>https://turismo.mateiros.to.gov.br/atrativos/fervedouro-do-ceica/</x:v>
      </x:c>
      <x:c r="O64" s="15" t="str"/>
      <x:c r="P64" s="15" t="str">
        <x:v>https://www.google.com/maps/search/?api=1&amp;query=Fervedouro+do+Cei%C3%A7a%2C+Mateiros%2C+Tocantins%2C+Brasil</x:v>
      </x:c>
      <x:c r="Q64" s="15" t="str">
        <x:v>https://www.google.com/search?tbm=isch&amp;q=Fervedouro+do+Cei%C3%A7a+Tocantins+Brasil</x:v>
      </x:c>
      <x:c r="R64" s="15" t="str">
        <x:v>original_somente</x:v>
      </x:c>
      <x:c r="S64" s="15" t="str">
        <x:v>Dados herdados do catálogo anterior; revisar município, foto e licença antes de produção.</x:v>
      </x:c>
      <x:c r="T64" s="15" t="str">
        <x:v>fervedouro-ceica</x:v>
      </x:c>
      <x:c r="U64" s="15" t="str">
        <x:v>documentado</x:v>
      </x:c>
    </x:row>
    <x:row r="65" ht="22" customHeight="1">
      <x:c r="A65" s="15" t="str"/>
      <x:c r="B65" s="15" t="str"/>
      <x:c r="C65" s="15" t="str">
        <x:v>Fervedouro Bela Vista</x:v>
      </x:c>
      <x:c r="D65" s="15" t="str">
        <x:v>Fervedouro</x:v>
      </x:c>
      <x:c r="E65" s="15" t="str">
        <x:v>Lista anterior (fora dos 62 pontos do mapa)</x:v>
      </x:c>
      <x:c r="F65" s="15" t="str">
        <x:v>Encantos do Jalapão</x:v>
      </x:c>
      <x:c r="G65" s="15" t="str">
        <x:v>São Félix do Tocantins</x:v>
      </x:c>
      <x:c r="H65" s="15" t="str">
        <x:v>herdado_catalogo_anterior</x:v>
      </x:c>
      <x:c r="I65" s="15" t="str">
        <x:v>foto_licenciada</x:v>
      </x:c>
      <x:c r="J65" s="15" t="str">
        <x:v>https://commons.wikimedia.org/wiki/Special:FilePath/Fervedouro_Bela_Vista.jpg?width=960</x:v>
      </x:c>
      <x:c r="K65" s="15" t="str">
        <x:v>https://commons.wikimedia.org/wiki/File:Fervedouro_Bela_Vista.jpg</x:v>
      </x:c>
      <x:c r="L65" s="15" t="str">
        <x:v>Rodrigo José Fernandes</x:v>
      </x:c>
      <x:c r="M65" s="15" t="str">
        <x:v>CC BY-SA 4.0</x:v>
      </x:c>
      <x:c r="N65" s="15" t="str">
        <x:v>https://saofelix.to.gov.br/</x:v>
      </x:c>
      <x:c r="O65" s="15" t="str"/>
      <x:c r="P65" s="15" t="str">
        <x:v>https://www.google.com/maps/search/?api=1&amp;query=Fervedouro+Bela+Vista%2C+S%C3%A3o+F%C3%A9lix+do+Tocantins%2C+Tocantins%2C+Brasil</x:v>
      </x:c>
      <x:c r="Q65" s="15" t="str">
        <x:v>https://www.google.com/search?tbm=isch&amp;q=Fervedouro+Bela+Vista+Tocantins+Brasil</x:v>
      </x:c>
      <x:c r="R65" s="15" t="str">
        <x:v>original_somente</x:v>
      </x:c>
      <x:c r="S65" s="15" t="str">
        <x:v>Dados herdados do catálogo anterior; revisar município, foto e licença antes de produção.</x:v>
      </x:c>
      <x:c r="T65" s="15" t="str">
        <x:v>fervedouro-bela-vista</x:v>
      </x:c>
      <x:c r="U65" s="15" t="str">
        <x:v>documentado</x:v>
      </x:c>
    </x:row>
    <x:row r="66" ht="22" customHeight="1">
      <x:c r="A66" s="15" t="str"/>
      <x:c r="B66" s="15" t="str"/>
      <x:c r="C66" s="15" t="str">
        <x:v>Fervedouro do Alecrim</x:v>
      </x:c>
      <x:c r="D66" s="15" t="str">
        <x:v>Fervedouro</x:v>
      </x:c>
      <x:c r="E66" s="15" t="str">
        <x:v>Lista anterior (fora dos 62 pontos do mapa)</x:v>
      </x:c>
      <x:c r="F66" s="15" t="str">
        <x:v>Encantos do Jalapão</x:v>
      </x:c>
      <x:c r="G66" s="15" t="str">
        <x:v>São Félix do Tocantins</x:v>
      </x:c>
      <x:c r="H66" s="15" t="str">
        <x:v>herdado_catalogo_anterior</x:v>
      </x:c>
      <x:c r="I66" s="15" t="str">
        <x:v>sem_foto_licenciada</x:v>
      </x:c>
      <x:c r="J66" s="15" t="str"/>
      <x:c r="K66" s="15" t="str"/>
      <x:c r="L66" s="15" t="str"/>
      <x:c r="M66" s="15" t="str"/>
      <x:c r="N66" s="15" t="str">
        <x:v>https://saofelix.to.gov.br/experiencia/fervedouro-alecrim/</x:v>
      </x:c>
      <x:c r="O66" s="15" t="str"/>
      <x:c r="P66" s="15" t="str">
        <x:v>https://www.google.com/maps/search/?api=1&amp;query=Fervedouro+do+Alecrim%2C+S%C3%A3o+F%C3%A9lix+do+Tocantins%2C+Tocantins%2C+Brasil</x:v>
      </x:c>
      <x:c r="Q66" s="15" t="str">
        <x:v>https://www.google.com/search?tbm=isch&amp;q=Fervedouro+do+Alecrim+Tocantins+Brasil</x:v>
      </x:c>
      <x:c r="R66" s="15" t="str">
        <x:v>original_somente</x:v>
      </x:c>
      <x:c r="S66" s="15" t="str">
        <x:v>Dados herdados do catálogo anterior; revisar município, foto e licença antes de produção.</x:v>
      </x:c>
      <x:c r="T66" s="15" t="str">
        <x:v>fervedouro-alecrim</x:v>
      </x:c>
      <x:c r="U66" s="15" t="str">
        <x:v>documentado</x:v>
      </x:c>
    </x:row>
    <x:row r="67" ht="22" customHeight="1">
      <x:c r="A67" s="15" t="str"/>
      <x:c r="B67" s="15" t="str"/>
      <x:c r="C67" s="15" t="str">
        <x:v>Fervedouro das Macaúbas</x:v>
      </x:c>
      <x:c r="D67" s="15" t="str">
        <x:v>Fervedouro</x:v>
      </x:c>
      <x:c r="E67" s="15" t="str">
        <x:v>Lista anterior (fora dos 62 pontos do mapa)</x:v>
      </x:c>
      <x:c r="F67" s="15" t="str">
        <x:v>Encantos do Jalapão</x:v>
      </x:c>
      <x:c r="G67" s="15" t="str">
        <x:v>Mateiros</x:v>
      </x:c>
      <x:c r="H67" s="15" t="str">
        <x:v>herdado_catalogo_anterior</x:v>
      </x:c>
      <x:c r="I67" s="15" t="str">
        <x:v>sem_foto_licenciada</x:v>
      </x:c>
      <x:c r="J67" s="15" t="str"/>
      <x:c r="K67" s="15" t="str"/>
      <x:c r="L67" s="15" t="str"/>
      <x:c r="M67" s="15" t="str"/>
      <x:c r="N67" s="15" t="str">
        <x:v>https://jalapaotocantins.to.gov.br/</x:v>
      </x:c>
      <x:c r="O67" s="15" t="str"/>
      <x:c r="P67" s="15" t="str">
        <x:v>https://www.google.com/maps/search/?api=1&amp;query=Fervedouro+das+Maca%C3%BAbas%2C+Mateiros%2C+Tocantins%2C+Brasil</x:v>
      </x:c>
      <x:c r="Q67" s="15" t="str">
        <x:v>https://www.google.com/search?tbm=isch&amp;q=Fervedouro+das+Maca%C3%BAbas+Tocantins+Brasil</x:v>
      </x:c>
      <x:c r="R67" s="15" t="str">
        <x:v>original_somente</x:v>
      </x:c>
      <x:c r="S67" s="15" t="str">
        <x:v>Dados herdados do catálogo anterior; revisar município, foto e licença antes de produção.</x:v>
      </x:c>
      <x:c r="T67" s="15" t="str">
        <x:v>fervedouro-macaubas</x:v>
      </x:c>
      <x:c r="U67" s="15" t="str">
        <x:v>documentado</x:v>
      </x:c>
    </x:row>
    <x:row r="68" ht="22" customHeight="1">
      <x:c r="A68" s="15" t="str"/>
      <x:c r="B68" s="15" t="str"/>
      <x:c r="C68" s="15" t="str">
        <x:v>Fervedouro Buritizinho</x:v>
      </x:c>
      <x:c r="D68" s="15" t="str">
        <x:v>Fervedouro</x:v>
      </x:c>
      <x:c r="E68" s="15" t="str">
        <x:v>Lista anterior (fora dos 62 pontos do mapa)</x:v>
      </x:c>
      <x:c r="F68" s="15" t="str">
        <x:v>Encantos do Jalapão</x:v>
      </x:c>
      <x:c r="G68" s="15" t="str">
        <x:v>Mateiros</x:v>
      </x:c>
      <x:c r="H68" s="15" t="str">
        <x:v>herdado_catalogo_anterior</x:v>
      </x:c>
      <x:c r="I68" s="15" t="str">
        <x:v>foto_licenciada</x:v>
      </x:c>
      <x:c r="J68" s="15" t="str">
        <x:v>https://commons.wikimedia.org/wiki/Special:FilePath/Parque_Estadual_do_Jalap%C3%A3o_Jo%C3%A3o_Paulo_Marques_Dandretta_(10).jpg?width=960</x:v>
      </x:c>
      <x:c r="K68" s="15" t="str">
        <x:v>https://commons.wikimedia.org/wiki/File:Parque_Estadual_do_Jalap%C3%A3o_Jo%C3%A3o_Paulo_Marques_Dandretta_(10).jpg</x:v>
      </x:c>
      <x:c r="L68" s="15" t="str">
        <x:v>João D'Andretta</x:v>
      </x:c>
      <x:c r="M68" s="15" t="str">
        <x:v>CC BY-SA 4.0</x:v>
      </x:c>
      <x:c r="N68" s="15" t="str">
        <x:v>https://turismo.mateiros.to.gov.br/atrativos/</x:v>
      </x:c>
      <x:c r="O68" s="15" t="str"/>
      <x:c r="P68" s="15" t="str">
        <x:v>https://www.google.com/maps/search/?api=1&amp;query=Fervedouro+Buritizinho%2C+Mateiros%2C+Tocantins%2C+Brasil</x:v>
      </x:c>
      <x:c r="Q68" s="15" t="str">
        <x:v>https://www.google.com/search?tbm=isch&amp;q=Fervedouro+Buritizinho+Tocantins+Brasil</x:v>
      </x:c>
      <x:c r="R68" s="15" t="str">
        <x:v>original_somente</x:v>
      </x:c>
      <x:c r="S68" s="15" t="str">
        <x:v>Dados herdados do catálogo anterior; revisar município, foto e licença antes de produção.</x:v>
      </x:c>
      <x:c r="T68" s="15" t="str">
        <x:v>fervedouro-buritizinho</x:v>
      </x:c>
      <x:c r="U68" s="15" t="str">
        <x:v>documentado</x:v>
      </x:c>
    </x:row>
    <x:row r="69" ht="22" customHeight="1">
      <x:c r="A69" s="15" t="str"/>
      <x:c r="B69" s="15" t="str"/>
      <x:c r="C69" s="15" t="str">
        <x:v>Fervedouro Rio Sono</x:v>
      </x:c>
      <x:c r="D69" s="15" t="str">
        <x:v>Fervedouro</x:v>
      </x:c>
      <x:c r="E69" s="15" t="str">
        <x:v>Lista anterior (fora dos 62 pontos do mapa)</x:v>
      </x:c>
      <x:c r="F69" s="15" t="str">
        <x:v>Encantos do Jalapão</x:v>
      </x:c>
      <x:c r="G69" s="15" t="str">
        <x:v>Mateiros</x:v>
      </x:c>
      <x:c r="H69" s="15" t="str">
        <x:v>herdado_catalogo_anterior</x:v>
      </x:c>
      <x:c r="I69" s="15" t="str">
        <x:v>sem_foto_licenciada</x:v>
      </x:c>
      <x:c r="J69" s="15" t="str"/>
      <x:c r="K69" s="15" t="str"/>
      <x:c r="L69" s="15" t="str"/>
      <x:c r="M69" s="15" t="str"/>
      <x:c r="N69" s="15" t="str">
        <x:v>https://jalapaotocantins.to.gov.br/</x:v>
      </x:c>
      <x:c r="O69" s="15" t="str"/>
      <x:c r="P69" s="15" t="str">
        <x:v>https://www.google.com/maps/search/?api=1&amp;query=Fervedouro+Rio+Sono%2C+Mateiros%2C+Tocantins%2C+Brasil</x:v>
      </x:c>
      <x:c r="Q69" s="15" t="str">
        <x:v>https://www.google.com/search?tbm=isch&amp;q=Fervedouro+Rio+Sono+Tocantins+Brasil</x:v>
      </x:c>
      <x:c r="R69" s="15" t="str">
        <x:v>original_somente</x:v>
      </x:c>
      <x:c r="S69" s="15" t="str">
        <x:v>Dados herdados do catálogo anterior; revisar município, foto e licença antes de produção.</x:v>
      </x:c>
      <x:c r="T69" s="15" t="str">
        <x:v>fervedouro-rio-sono</x:v>
      </x:c>
      <x:c r="U69" s="15" t="str">
        <x:v>documentado</x:v>
      </x:c>
    </x:row>
    <x:row r="70" ht="22" customHeight="1">
      <x:c r="A70" s="15" t="str"/>
      <x:c r="B70" s="15" t="str"/>
      <x:c r="C70" s="15" t="str">
        <x:v>Fervedouro Jatobá</x:v>
      </x:c>
      <x:c r="D70" s="15" t="str">
        <x:v>Fervedouro</x:v>
      </x:c>
      <x:c r="E70" s="15" t="str">
        <x:v>Lista anterior (fora dos 62 pontos do mapa)</x:v>
      </x:c>
      <x:c r="F70" s="15" t="str">
        <x:v>Encantos do Jalapão</x:v>
      </x:c>
      <x:c r="G70" s="15" t="str">
        <x:v>São Félix do Tocantins</x:v>
      </x:c>
      <x:c r="H70" s="15" t="str">
        <x:v>herdado_catalogo_anterior</x:v>
      </x:c>
      <x:c r="I70" s="15" t="str">
        <x:v>sem_foto_licenciada</x:v>
      </x:c>
      <x:c r="J70" s="15" t="str"/>
      <x:c r="K70" s="15" t="str"/>
      <x:c r="L70" s="15" t="str"/>
      <x:c r="M70" s="15" t="str"/>
      <x:c r="N70" s="15" t="str">
        <x:v>https://saofelix.to.gov.br/experiencia/fervedouro-jatoba/</x:v>
      </x:c>
      <x:c r="O70" s="15" t="str"/>
      <x:c r="P70" s="15" t="str">
        <x:v>https://www.google.com/maps/search/?api=1&amp;query=Fervedouro+Jatob%C3%A1%2C+S%C3%A3o+F%C3%A9lix+do+Tocantins%2C+Tocantins%2C+Brasil</x:v>
      </x:c>
      <x:c r="Q70" s="15" t="str">
        <x:v>https://www.google.com/search?tbm=isch&amp;q=Fervedouro+Jatob%C3%A1+Tocantins+Brasil</x:v>
      </x:c>
      <x:c r="R70" s="15" t="str">
        <x:v>original_somente</x:v>
      </x:c>
      <x:c r="S70" s="15" t="str">
        <x:v>Dados herdados do catálogo anterior; revisar município, foto e licença antes de produção.</x:v>
      </x:c>
      <x:c r="T70" s="15" t="str">
        <x:v>fervedouro-jatoba</x:v>
      </x:c>
      <x:c r="U70" s="15" t="str">
        <x:v>documentado</x:v>
      </x:c>
    </x:row>
    <x:row r="71" ht="22" customHeight="1">
      <x:c r="A71" s="15" t="str"/>
      <x:c r="B71" s="15" t="str"/>
      <x:c r="C71" s="15" t="str">
        <x:v>Fervedouro Lagoa Encantada</x:v>
      </x:c>
      <x:c r="D71" s="15" t="str">
        <x:v>Fervedouro</x:v>
      </x:c>
      <x:c r="E71" s="15" t="str">
        <x:v>Lista anterior (fora dos 62 pontos do mapa)</x:v>
      </x:c>
      <x:c r="F71" s="15" t="str">
        <x:v>Encantos do Jalapão</x:v>
      </x:c>
      <x:c r="G71" s="15" t="str"/>
      <x:c r="H71" s="15" t="str">
        <x:v>pendente</x:v>
      </x:c>
      <x:c r="I71" s="15" t="str">
        <x:v>sem_foto_licenciada</x:v>
      </x:c>
      <x:c r="J71" s="15" t="str"/>
      <x:c r="K71" s="15" t="str"/>
      <x:c r="L71" s="15" t="str"/>
      <x:c r="M71" s="15" t="str"/>
      <x:c r="N71" s="15" t="str"/>
      <x:c r="O71" s="15" t="str"/>
      <x:c r="P71" s="15" t="str">
        <x:v>https://www.google.com/maps/search/?api=1&amp;query=Fervedouro+Lagoa+Encantada%2C+Jalap%C3%A3o%2C+Tocantins%2C+Brasil</x:v>
      </x:c>
      <x:c r="Q71" s="15" t="str">
        <x:v>https://www.google.com/search?tbm=isch&amp;q=Fervedouro+Lagoa+Encantada+Tocantins+Brasil</x:v>
      </x:c>
      <x:c r="R71" s="15" t="str">
        <x:v>original_somente</x:v>
      </x:c>
      <x:c r="S71" s="15" t="str">
        <x:v>Dados herdados do catálogo anterior; revisar município, foto e licença antes de produção.</x:v>
      </x:c>
      <x:c r="T71" s="15" t="str">
        <x:v>fervedouro-lagoa-encantada</x:v>
      </x:c>
      <x:c r="U71" s="15" t="str">
        <x:v>pendente_de_identificacao</x:v>
      </x:c>
    </x:row>
    <x:row r="72" ht="22" customHeight="1">
      <x:c r="A72" s="15" t="str"/>
      <x:c r="B72" s="15" t="str"/>
      <x:c r="C72" s="15" t="str">
        <x:v>Fervedouro Por Enquanto</x:v>
      </x:c>
      <x:c r="D72" s="15" t="str">
        <x:v>Fervedouro</x:v>
      </x:c>
      <x:c r="E72" s="15" t="str">
        <x:v>Lista anterior (fora dos 62 pontos do mapa)</x:v>
      </x:c>
      <x:c r="F72" s="15" t="str">
        <x:v>Encantos do Jalapão</x:v>
      </x:c>
      <x:c r="G72" s="15" t="str">
        <x:v>São Félix do Tocantins</x:v>
      </x:c>
      <x:c r="H72" s="15" t="str">
        <x:v>herdado_catalogo_anterior</x:v>
      </x:c>
      <x:c r="I72" s="15" t="str">
        <x:v>sem_foto_licenciada</x:v>
      </x:c>
      <x:c r="J72" s="15" t="str"/>
      <x:c r="K72" s="15" t="str"/>
      <x:c r="L72" s="15" t="str"/>
      <x:c r="M72" s="15" t="str"/>
      <x:c r="N72" s="15" t="str">
        <x:v>https://saofelix.to.gov.br/experiencia/fervedouro-por-enquanto/</x:v>
      </x:c>
      <x:c r="O72" s="15" t="str"/>
      <x:c r="P72" s="15" t="str">
        <x:v>https://www.google.com/maps/search/?api=1&amp;query=Fervedouro+Por+Enquanto%2C+S%C3%A3o+F%C3%A9lix+do+Tocantins%2C+Tocantins%2C+Brasil</x:v>
      </x:c>
      <x:c r="Q72" s="15" t="str">
        <x:v>https://www.google.com/search?tbm=isch&amp;q=Fervedouro+Por+Enquanto+Tocantins+Brasil</x:v>
      </x:c>
      <x:c r="R72" s="15" t="str">
        <x:v>original_somente</x:v>
      </x:c>
      <x:c r="S72" s="15" t="str">
        <x:v>Dados herdados do catálogo anterior; revisar município, foto e licença antes de produção.</x:v>
      </x:c>
      <x:c r="T72" s="15" t="str">
        <x:v>fervedouro-por-enquanto</x:v>
      </x:c>
      <x:c r="U72" s="15" t="str">
        <x:v>documentado</x:v>
      </x:c>
    </x:row>
    <x:row r="73" ht="22" customHeight="1">
      <x:c r="A73" s="15" t="str"/>
      <x:c r="B73" s="15" t="str"/>
      <x:c r="C73" s="15" t="str">
        <x:v>Cachoeira das Araras</x:v>
      </x:c>
      <x:c r="D73" s="15" t="str">
        <x:v>Cachoeira</x:v>
      </x:c>
      <x:c r="E73" s="15" t="str">
        <x:v>Lista anterior (fora dos 62 pontos do mapa)</x:v>
      </x:c>
      <x:c r="F73" s="15" t="str">
        <x:v>Encantos do Jalapão</x:v>
      </x:c>
      <x:c r="G73" s="15" t="str">
        <x:v>São Félix do Tocantins</x:v>
      </x:c>
      <x:c r="H73" s="15" t="str">
        <x:v>herdado_catalogo_anterior</x:v>
      </x:c>
      <x:c r="I73" s="15" t="str">
        <x:v>sem_foto_licenciada</x:v>
      </x:c>
      <x:c r="J73" s="15" t="str"/>
      <x:c r="K73" s="15" t="str"/>
      <x:c r="L73" s="15" t="str"/>
      <x:c r="M73" s="15" t="str"/>
      <x:c r="N73" s="15" t="str">
        <x:v>https://saofelix.to.gov.br/experiencia/cachoeira-das-araras/</x:v>
      </x:c>
      <x:c r="O73" s="15" t="str"/>
      <x:c r="P73" s="15" t="str">
        <x:v>https://www.google.com/maps/search/?api=1&amp;query=Cachoeira+das+Araras%2C+S%C3%A3o+F%C3%A9lix+do+Tocantins%2C+Tocantins%2C+Brasil</x:v>
      </x:c>
      <x:c r="Q73" s="15" t="str">
        <x:v>https://www.google.com/search?tbm=isch&amp;q=Cachoeira+das+Araras+Tocantins+Brasil</x:v>
      </x:c>
      <x:c r="R73" s="15" t="str">
        <x:v>original_somente</x:v>
      </x:c>
      <x:c r="S73" s="15" t="str">
        <x:v>Dados herdados do catálogo anterior; revisar município, foto e licença antes de produção.</x:v>
      </x:c>
      <x:c r="T73" s="15" t="str">
        <x:v>cachoeira-araras-sao-felix</x:v>
      </x:c>
      <x:c r="U73" s="15" t="str">
        <x:v>documentado</x:v>
      </x:c>
    </x:row>
    <x:row r="74" ht="22" customHeight="1">
      <x:c r="A74" s="15" t="str"/>
      <x:c r="B74" s="15" t="str"/>
      <x:c r="C74" s="15" t="str">
        <x:v>Cachoeira da Roncadeira</x:v>
      </x:c>
      <x:c r="D74" s="15" t="str">
        <x:v>Cachoeira</x:v>
      </x:c>
      <x:c r="E74" s="15" t="str">
        <x:v>Lista anterior (fora dos 62 pontos do mapa)</x:v>
      </x:c>
      <x:c r="F74" s="15" t="str">
        <x:v>Roteiro estendido (fora da região turística Encantos do Jalapão)</x:v>
      </x:c>
      <x:c r="G74" s="15" t="str">
        <x:v>Palmas (Taquaruçu)</x:v>
      </x:c>
      <x:c r="H74" s="15" t="str">
        <x:v>herdado_catalogo_anterior</x:v>
      </x:c>
      <x:c r="I74" s="15" t="str">
        <x:v>sem_foto_licenciada</x:v>
      </x:c>
      <x:c r="J74" s="15" t="str"/>
      <x:c r="K74" s="15" t="str"/>
      <x:c r="L74" s="15" t="str"/>
      <x:c r="M74" s="15" t="str"/>
      <x:c r="N74" s="15" t="str">
        <x:v>https://portal2013.palmas.to.gov.br/conheca_palmas/turismo-ecologico/rapel-na-rocandeira/</x:v>
      </x:c>
      <x:c r="O74" s="15" t="str"/>
      <x:c r="P74" s="15" t="str">
        <x:v>https://www.google.com/maps/search/?api=1&amp;query=Cachoeira+da+Roncadeira%2C+Palmas+%28Taquaru%C3%A7u%29%2C+Tocantins%2C+Brasil</x:v>
      </x:c>
      <x:c r="Q74" s="15" t="str">
        <x:v>https://www.google.com/search?tbm=isch&amp;q=Cachoeira+da+Roncadeira+Tocantins+Brasil</x:v>
      </x:c>
      <x:c r="R74" s="15" t="str">
        <x:v>original_somente</x:v>
      </x:c>
      <x:c r="S74" s="15" t="str">
        <x:v>Dados herdados do catálogo anterior; revisar município, foto e licença antes de produção.</x:v>
      </x:c>
      <x:c r="T74" s="15" t="str">
        <x:v>cachoeira-roncadeira</x:v>
      </x:c>
      <x:c r="U74" s="15" t="str">
        <x:v>documentado</x:v>
      </x:c>
    </x:row>
    <x:row r="75" ht="22" customHeight="1">
      <x:c r="A75" s="15" t="str"/>
      <x:c r="B75" s="15" t="str"/>
      <x:c r="C75" s="15" t="str">
        <x:v>Cachoeira Escorrega Macaco</x:v>
      </x:c>
      <x:c r="D75" s="15" t="str">
        <x:v>Cachoeira</x:v>
      </x:c>
      <x:c r="E75" s="15" t="str">
        <x:v>Lista anterior (fora dos 62 pontos do mapa)</x:v>
      </x:c>
      <x:c r="F75" s="15" t="str">
        <x:v>Roteiro estendido (fora da região turística Encantos do Jalapão)</x:v>
      </x:c>
      <x:c r="G75" s="15" t="str">
        <x:v>Palmas (Taquaruçu)</x:v>
      </x:c>
      <x:c r="H75" s="15" t="str">
        <x:v>herdado_catalogo_anterior</x:v>
      </x:c>
      <x:c r="I75" s="15" t="str">
        <x:v>sem_foto_licenciada</x:v>
      </x:c>
      <x:c r="J75" s="15" t="str"/>
      <x:c r="K75" s="15" t="str"/>
      <x:c r="L75" s="15" t="str"/>
      <x:c r="M75" s="15" t="str"/>
      <x:c r="N75" s="15" t="str">
        <x:v>https://portal2013.palmas.to.gov.br/conheca_palmas/turismo-ecologico/rapel-na-rocandeira/</x:v>
      </x:c>
      <x:c r="O75" s="15" t="str"/>
      <x:c r="P75" s="15" t="str">
        <x:v>https://www.google.com/maps/search/?api=1&amp;query=Cachoeira+Escorrega+Macaco%2C+Palmas+%28Taquaru%C3%A7u%29%2C+Tocantins%2C+Brasil</x:v>
      </x:c>
      <x:c r="Q75" s="15" t="str">
        <x:v>https://www.google.com/search?tbm=isch&amp;q=Cachoeira+Escorrega+Macaco+Tocantins+Brasil</x:v>
      </x:c>
      <x:c r="R75" s="15" t="str">
        <x:v>original_somente</x:v>
      </x:c>
      <x:c r="S75" s="15" t="str">
        <x:v>Dados herdados do catálogo anterior; revisar município, foto e licença antes de produção.</x:v>
      </x:c>
      <x:c r="T75" s="15" t="str">
        <x:v>cachoeira-escorrega-macaco</x:v>
      </x:c>
      <x:c r="U75" s="15" t="str">
        <x:v>documentado</x:v>
      </x:c>
    </x:row>
    <x:row r="76" ht="22" customHeight="1">
      <x:c r="A76" s="15" t="str"/>
      <x:c r="B76" s="15" t="str"/>
      <x:c r="C76" s="15" t="str">
        <x:v>Cachoeira do Evilson</x:v>
      </x:c>
      <x:c r="D76" s="15" t="str">
        <x:v>Cachoeira</x:v>
      </x:c>
      <x:c r="E76" s="15" t="str">
        <x:v>Lista anterior (fora dos 62 pontos do mapa)</x:v>
      </x:c>
      <x:c r="F76" s="15" t="str">
        <x:v>Roteiro estendido (fora da região turística Encantos do Jalapão)</x:v>
      </x:c>
      <x:c r="G76" s="15" t="str">
        <x:v>Palmas (Taquaruçu)</x:v>
      </x:c>
      <x:c r="H76" s="15" t="str">
        <x:v>herdado_catalogo_anterior</x:v>
      </x:c>
      <x:c r="I76" s="15" t="str">
        <x:v>sem_foto_licenciada</x:v>
      </x:c>
      <x:c r="J76" s="15" t="str"/>
      <x:c r="K76" s="15" t="str"/>
      <x:c r="L76" s="15" t="str"/>
      <x:c r="M76" s="15" t="str"/>
      <x:c r="N76" s="15" t="str">
        <x:v>https://www.palmas.to.gov.br/core/noticias/taquarucu-oferece-boa-gastronomia-lazer-e-passeios-inesqueciveis/</x:v>
      </x:c>
      <x:c r="O76" s="15" t="str"/>
      <x:c r="P76" s="15" t="str">
        <x:v>https://www.google.com/maps/search/?api=1&amp;query=Cachoeira+do+Evilson%2C+Palmas+%28Taquaru%C3%A7u%29%2C+Tocantins%2C+Brasil</x:v>
      </x:c>
      <x:c r="Q76" s="15" t="str">
        <x:v>https://www.google.com/search?tbm=isch&amp;q=Cachoeira+do+Evilson+Tocantins+Brasil</x:v>
      </x:c>
      <x:c r="R76" s="15" t="str">
        <x:v>original_somente</x:v>
      </x:c>
      <x:c r="S76" s="15" t="str">
        <x:v>Dados herdados do catálogo anterior; revisar município, foto e licença antes de produção.</x:v>
      </x:c>
      <x:c r="T76" s="15" t="str">
        <x:v>cachoeira-evilson</x:v>
      </x:c>
      <x:c r="U76" s="15" t="str">
        <x:v>documentado</x:v>
      </x:c>
    </x:row>
    <x:row r="77" ht="22" customHeight="1">
      <x:c r="A77" s="15" t="str"/>
      <x:c r="B77" s="15" t="str"/>
      <x:c r="C77" s="15" t="str">
        <x:v>Pedra Furada</x:v>
      </x:c>
      <x:c r="D77" s="15" t="str">
        <x:v>Formação rochosa</x:v>
      </x:c>
      <x:c r="E77" s="15" t="str">
        <x:v>Lista anterior (fora dos 62 pontos do mapa)</x:v>
      </x:c>
      <x:c r="F77" s="15" t="str">
        <x:v>Encantos do Jalapão</x:v>
      </x:c>
      <x:c r="G77" s="15" t="str">
        <x:v>Ponte Alta do Tocantins</x:v>
      </x:c>
      <x:c r="H77" s="15" t="str">
        <x:v>herdado_catalogo_anterior</x:v>
      </x:c>
      <x:c r="I77" s="15" t="str">
        <x:v>foto_licenciada</x:v>
      </x:c>
      <x:c r="J77" s="15" t="str">
        <x:v>https://commons.wikimedia.org/wiki/Special:FilePath/Pedra_Furada_-_Jalap%C3%A3o_(7)_(53037338894).jpg?width=960</x:v>
      </x:c>
      <x:c r="K77" s="15" t="str">
        <x:v>https://commons.wikimedia.org/wiki/File:Pedra_Furada_-_Jalap%C3%A3o_(7)_(53037338894).jpg</x:v>
      </x:c>
      <x:c r="L77" s="15" t="str">
        <x:v>Alexandre Marino</x:v>
      </x:c>
      <x:c r="M77" s="15" t="str">
        <x:v>CC BY-SA 2.0</x:v>
      </x:c>
      <x:c r="N77" s="15" t="str">
        <x:v>https://jalapaotocantins.to.gov.br/</x:v>
      </x:c>
      <x:c r="O77" s="15" t="str"/>
      <x:c r="P77" s="15" t="str">
        <x:v>https://www.google.com/maps/search/?api=1&amp;query=Pedra+Furada%2C+Ponte+Alta+do+Tocantins%2C+Tocantins%2C+Brasil</x:v>
      </x:c>
      <x:c r="Q77" s="15" t="str">
        <x:v>https://www.google.com/search?tbm=isch&amp;q=Pedra+Furada+Tocantins+Brasil</x:v>
      </x:c>
      <x:c r="R77" s="15" t="str">
        <x:v>original_somente</x:v>
      </x:c>
      <x:c r="S77" s="15" t="str">
        <x:v>Dados herdados do catálogo anterior; revisar município, foto e licença antes de produção.</x:v>
      </x:c>
      <x:c r="T77" s="15" t="str">
        <x:v>pedra-furada</x:v>
      </x:c>
      <x:c r="U77" s="15" t="str">
        <x:v>documentado</x:v>
      </x:c>
    </x:row>
    <x:row r="78" ht="22" customHeight="1">
      <x:c r="A78" s="15" t="str"/>
      <x:c r="B78" s="15" t="str"/>
      <x:c r="C78" s="15" t="str">
        <x:v>Morro da Cruz</x:v>
      </x:c>
      <x:c r="D78" s="15" t="str">
        <x:v>Formação rochosa</x:v>
      </x:c>
      <x:c r="E78" s="15" t="str">
        <x:v>Lista anterior (fora dos 62 pontos do mapa)</x:v>
      </x:c>
      <x:c r="F78" s="15" t="str">
        <x:v>Encantos do Jalapão</x:v>
      </x:c>
      <x:c r="G78" s="15" t="str">
        <x:v>Ponte Alta do Tocantins</x:v>
      </x:c>
      <x:c r="H78" s="15" t="str">
        <x:v>herdado_catalogo_anterior</x:v>
      </x:c>
      <x:c r="I78" s="15" t="str">
        <x:v>sem_foto_licenciada</x:v>
      </x:c>
      <x:c r="J78" s="15" t="str"/>
      <x:c r="K78" s="15" t="str"/>
      <x:c r="L78" s="15" t="str"/>
      <x:c r="M78" s="15" t="str"/>
      <x:c r="N78" s="15" t="str"/>
      <x:c r="O78" s="15" t="str"/>
      <x:c r="P78" s="15" t="str">
        <x:v>https://www.google.com/maps/search/?api=1&amp;query=Morro+da+Cruz%2C+Ponte+Alta+do+Tocantins%2C+Tocantins%2C+Brasil</x:v>
      </x:c>
      <x:c r="Q78" s="15" t="str">
        <x:v>https://www.google.com/search?tbm=isch&amp;q=Morro+da+Cruz+Tocantins+Brasil</x:v>
      </x:c>
      <x:c r="R78" s="15" t="str">
        <x:v>original_somente</x:v>
      </x:c>
      <x:c r="S78" s="15" t="str">
        <x:v>Dados herdados do catálogo anterior; revisar município, foto e licença antes de produção.</x:v>
      </x:c>
      <x:c r="T78" s="15" t="str">
        <x:v>morro-cruz</x:v>
      </x:c>
      <x:c r="U78" s="15" t="str">
        <x:v>documentado_em_fonte_nao_governamental</x:v>
      </x:c>
    </x:row>
    <x:row r="79" ht="22" customHeight="1">
      <x:c r="A79" s="15" t="str"/>
      <x:c r="B79" s="15" t="str"/>
      <x:c r="C79" s="15" t="str">
        <x:v>Morro do Saca Trapo</x:v>
      </x:c>
      <x:c r="D79" s="15" t="str">
        <x:v>Formação rochosa</x:v>
      </x:c>
      <x:c r="E79" s="15" t="str">
        <x:v>Lista anterior (fora dos 62 pontos do mapa)</x:v>
      </x:c>
      <x:c r="F79" s="15" t="str">
        <x:v>Encantos do Jalapão</x:v>
      </x:c>
      <x:c r="G79" s="15" t="str">
        <x:v>Mateiros</x:v>
      </x:c>
      <x:c r="H79" s="15" t="str">
        <x:v>herdado_catalogo_anterior</x:v>
      </x:c>
      <x:c r="I79" s="15" t="str">
        <x:v>sem_foto_licenciada</x:v>
      </x:c>
      <x:c r="J79" s="15" t="str"/>
      <x:c r="K79" s="15" t="str"/>
      <x:c r="L79" s="15" t="str"/>
      <x:c r="M79" s="15" t="str"/>
      <x:c r="N79" s="15" t="str"/>
      <x:c r="O79" s="15" t="str"/>
      <x:c r="P79" s="15" t="str">
        <x:v>https://www.google.com/maps/search/?api=1&amp;query=Morro+do+Saca+Trapo%2C+Mateiros%2C+Tocantins%2C+Brasil</x:v>
      </x:c>
      <x:c r="Q79" s="15" t="str">
        <x:v>https://www.google.com/search?tbm=isch&amp;q=Morro+do+Saca+Trapo+Tocantins+Brasil</x:v>
      </x:c>
      <x:c r="R79" s="15" t="str">
        <x:v>original_somente</x:v>
      </x:c>
      <x:c r="S79" s="15" t="str">
        <x:v>Dados herdados do catálogo anterior; revisar município, foto e licença antes de produção.</x:v>
      </x:c>
      <x:c r="T79" s="15" t="str">
        <x:v>morro-sacatrapo</x:v>
      </x:c>
      <x:c r="U79" s="15" t="str">
        <x:v>documentado_em_fonte_fotografica</x:v>
      </x:c>
    </x:row>
    <x:row r="80" ht="22" customHeight="1">
      <x:c r="A80" s="15" t="str"/>
      <x:c r="B80" s="15" t="str"/>
      <x:c r="C80" s="15" t="str">
        <x:v>Comunidade Quilombola do Prata</x:v>
      </x:c>
      <x:c r="D80" s="15" t="str">
        <x:v>Turismo comunitário</x:v>
      </x:c>
      <x:c r="E80" s="15" t="str">
        <x:v>Lista anterior (fora dos 62 pontos do mapa)</x:v>
      </x:c>
      <x:c r="F80" s="15" t="str">
        <x:v>Encantos do Jalapão</x:v>
      </x:c>
      <x:c r="G80" s="15" t="str">
        <x:v>São Félix do Tocantins</x:v>
      </x:c>
      <x:c r="H80" s="15" t="str">
        <x:v>herdado_catalogo_anterior</x:v>
      </x:c>
      <x:c r="I80" s="15" t="str">
        <x:v>sem_foto_licenciada</x:v>
      </x:c>
      <x:c r="J80" s="15" t="str"/>
      <x:c r="K80" s="15" t="str"/>
      <x:c r="L80" s="15" t="str"/>
      <x:c r="M80" s="15" t="str"/>
      <x:c r="N80" s="15" t="str">
        <x:v>https://central3.to.gov.br/arquivo/572017/</x:v>
      </x:c>
      <x:c r="O80" s="15" t="str"/>
      <x:c r="P80" s="15" t="str">
        <x:v>https://www.google.com/maps/search/?api=1&amp;query=Comunidade+Quilombola+do+Prata%2C+S%C3%A3o+F%C3%A9lix+do+Tocantins%2C+Tocantins%2C+Brasil</x:v>
      </x:c>
      <x:c r="Q80" s="15" t="str">
        <x:v>https://www.google.com/search?tbm=isch&amp;q=Comunidade+Quilombola+do+Prata+Tocantins+Brasil</x:v>
      </x:c>
      <x:c r="R80" s="15" t="str">
        <x:v>original_somente</x:v>
      </x:c>
      <x:c r="S80" s="15" t="str">
        <x:v>Dados herdados do catálogo anterior; revisar município, foto e licença antes de produção.</x:v>
      </x:c>
      <x:c r="T80" s="15" t="str">
        <x:v>quilombo-prata</x:v>
      </x:c>
      <x:c r="U80" s="15" t="str">
        <x:v>documentado</x:v>
      </x:c>
    </x:row>
    <x:row r="81" ht="22" customHeight="1">
      <x:c r="A81" s="15" t="str"/>
      <x:c r="B81" s="15" t="str"/>
      <x:c r="C81" s="15" t="str">
        <x:v>Comunidade Quilombola do Rio Novo</x:v>
      </x:c>
      <x:c r="D81" s="15" t="str">
        <x:v>Turismo comunitário</x:v>
      </x:c>
      <x:c r="E81" s="15" t="str">
        <x:v>Lista anterior (fora dos 62 pontos do mapa)</x:v>
      </x:c>
      <x:c r="F81" s="15" t="str">
        <x:v>Encantos do Jalapão</x:v>
      </x:c>
      <x:c r="G81" s="15" t="str">
        <x:v>Mateiros</x:v>
      </x:c>
      <x:c r="H81" s="15" t="str">
        <x:v>herdado_catalogo_anterior</x:v>
      </x:c>
      <x:c r="I81" s="15" t="str">
        <x:v>foto_licenciada</x:v>
      </x:c>
      <x:c r="J81" s="15" t="str">
        <x:v>https://commons.wikimedia.org/wiki/Special:FilePath/Gerador_solar_na_Comunidade_Quilombola_do_Rio_Novo.jpg?width=960</x:v>
      </x:c>
      <x:c r="K81" s="15" t="str">
        <x:v>https://commons.wikimedia.org/wiki/File:Gerador_solar_na_Comunidade_Quilombola_do_Rio_Novo.jpg</x:v>
      </x:c>
      <x:c r="L81" s="15" t="str">
        <x:v>Victor de Andrade Lopes</x:v>
      </x:c>
      <x:c r="M81" s="15" t="str">
        <x:v>CC BY-SA 4.0</x:v>
      </x:c>
      <x:c r="N81" s="15" t="str">
        <x:v>https://central3.to.gov.br/arquivo/572017/</x:v>
      </x:c>
      <x:c r="O81" s="15" t="str"/>
      <x:c r="P81" s="15" t="str">
        <x:v>https://www.google.com/maps/search/?api=1&amp;query=Comunidade+Quilombola+do+Rio+Novo%2C+Mateiros%2C+Tocantins%2C+Brasil</x:v>
      </x:c>
      <x:c r="Q81" s="15" t="str">
        <x:v>https://www.google.com/search?tbm=isch&amp;q=Comunidade+Quilombola+do+Rio+Novo+Tocantins+Brasil</x:v>
      </x:c>
      <x:c r="R81" s="15" t="str">
        <x:v>original_somente</x:v>
      </x:c>
      <x:c r="S81" s="15" t="str">
        <x:v>Dados herdados do catálogo anterior; revisar município, foto e licença antes de produção.</x:v>
      </x:c>
      <x:c r="T81" s="15" t="str">
        <x:v>quilombo-rio-novo</x:v>
      </x:c>
      <x:c r="U81" s="15" t="str">
        <x:v>documentado</x:v>
      </x:c>
    </x:row>
  </x:sheetData>
  <x:pageMargins left="0.7" right="0.7" top="0.75" bottom="0.75" header="0.3" footer="0.3"/>
  <x:tableParts count="1">
    <x:tablePart xmlns:r="http://schemas.openxmlformats.org/officeDocument/2006/relationships" r:id="Rd820b2fef484435e"/>
  </x:tableParts>
</x:worksheet>
</file>